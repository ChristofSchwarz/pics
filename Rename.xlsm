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a\Documents\Handy Bilder\2019\3\"/>
    </mc:Choice>
  </mc:AlternateContent>
  <bookViews>
    <workbookView xWindow="0" yWindow="0" windowWidth="15090" windowHeight="6060"/>
  </bookViews>
  <sheets>
    <sheet name="lst" sheetId="1" r:id="rId1"/>
  </sheets>
  <definedNames>
    <definedName name="Folder">lst!$A$2</definedName>
    <definedName name="Pattern">lst!$D$2</definedName>
  </definedNames>
  <calcPr calcId="171027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5" i="1" l="1"/>
  <c r="D5" i="1"/>
  <c r="E5" i="1"/>
  <c r="F5" i="1"/>
  <c r="K5" i="1" s="1"/>
  <c r="N5" i="1" s="1"/>
  <c r="G5" i="1"/>
  <c r="H5" i="1"/>
  <c r="L5" i="1"/>
  <c r="M5" i="1"/>
  <c r="C6" i="1"/>
  <c r="D6" i="1"/>
  <c r="K6" i="1" s="1"/>
  <c r="N6" i="1" s="1"/>
  <c r="E6" i="1"/>
  <c r="F6" i="1"/>
  <c r="G6" i="1"/>
  <c r="H6" i="1"/>
  <c r="M6" i="1"/>
  <c r="L6" i="1" s="1"/>
  <c r="C7" i="1"/>
  <c r="K7" i="1" s="1"/>
  <c r="N7" i="1" s="1"/>
  <c r="D7" i="1"/>
  <c r="E7" i="1"/>
  <c r="F7" i="1"/>
  <c r="G7" i="1"/>
  <c r="H7" i="1"/>
  <c r="L7" i="1"/>
  <c r="M7" i="1"/>
  <c r="C8" i="1"/>
  <c r="D8" i="1"/>
  <c r="K8" i="1" s="1"/>
  <c r="N8" i="1" s="1"/>
  <c r="E8" i="1"/>
  <c r="F8" i="1"/>
  <c r="G8" i="1"/>
  <c r="H8" i="1"/>
  <c r="M8" i="1"/>
  <c r="L8" i="1" s="1"/>
  <c r="C9" i="1"/>
  <c r="K9" i="1" s="1"/>
  <c r="N9" i="1" s="1"/>
  <c r="D9" i="1"/>
  <c r="E9" i="1"/>
  <c r="F9" i="1"/>
  <c r="G9" i="1"/>
  <c r="H9" i="1"/>
  <c r="L9" i="1"/>
  <c r="M9" i="1"/>
  <c r="C10" i="1"/>
  <c r="D10" i="1"/>
  <c r="K10" i="1" s="1"/>
  <c r="N10" i="1" s="1"/>
  <c r="E10" i="1"/>
  <c r="F10" i="1"/>
  <c r="G10" i="1"/>
  <c r="H10" i="1"/>
  <c r="M10" i="1"/>
  <c r="L10" i="1" s="1"/>
  <c r="C11" i="1"/>
  <c r="K11" i="1" s="1"/>
  <c r="N11" i="1" s="1"/>
  <c r="D11" i="1"/>
  <c r="E11" i="1"/>
  <c r="F11" i="1"/>
  <c r="G11" i="1"/>
  <c r="H11" i="1"/>
  <c r="L11" i="1"/>
  <c r="M11" i="1"/>
  <c r="C12" i="1"/>
  <c r="D12" i="1"/>
  <c r="K12" i="1" s="1"/>
  <c r="E12" i="1"/>
  <c r="F12" i="1"/>
  <c r="G12" i="1"/>
  <c r="H12" i="1"/>
  <c r="M12" i="1"/>
  <c r="L12" i="1" s="1"/>
  <c r="C13" i="1"/>
  <c r="K13" i="1" s="1"/>
  <c r="N13" i="1" s="1"/>
  <c r="D13" i="1"/>
  <c r="E13" i="1"/>
  <c r="F13" i="1"/>
  <c r="G13" i="1"/>
  <c r="H13" i="1"/>
  <c r="L13" i="1"/>
  <c r="M13" i="1"/>
  <c r="C14" i="1"/>
  <c r="D14" i="1"/>
  <c r="K14" i="1" s="1"/>
  <c r="E14" i="1"/>
  <c r="F14" i="1"/>
  <c r="G14" i="1"/>
  <c r="H14" i="1"/>
  <c r="M14" i="1"/>
  <c r="L14" i="1" s="1"/>
  <c r="C15" i="1"/>
  <c r="K15" i="1" s="1"/>
  <c r="N15" i="1" s="1"/>
  <c r="D15" i="1"/>
  <c r="E15" i="1"/>
  <c r="F15" i="1"/>
  <c r="G15" i="1"/>
  <c r="H15" i="1"/>
  <c r="L15" i="1"/>
  <c r="M15" i="1"/>
  <c r="C16" i="1"/>
  <c r="D16" i="1"/>
  <c r="K16" i="1" s="1"/>
  <c r="N16" i="1" s="1"/>
  <c r="E16" i="1"/>
  <c r="F16" i="1"/>
  <c r="G16" i="1"/>
  <c r="H16" i="1"/>
  <c r="M16" i="1"/>
  <c r="L16" i="1" s="1"/>
  <c r="C17" i="1"/>
  <c r="D17" i="1"/>
  <c r="E17" i="1"/>
  <c r="F17" i="1"/>
  <c r="K17" i="1" s="1"/>
  <c r="N17" i="1" s="1"/>
  <c r="G17" i="1"/>
  <c r="H17" i="1"/>
  <c r="L17" i="1"/>
  <c r="M17" i="1"/>
  <c r="C18" i="1"/>
  <c r="K18" i="1" s="1"/>
  <c r="N18" i="1" s="1"/>
  <c r="D18" i="1"/>
  <c r="E18" i="1"/>
  <c r="F18" i="1"/>
  <c r="G18" i="1"/>
  <c r="H18" i="1"/>
  <c r="M18" i="1"/>
  <c r="L18" i="1" s="1"/>
  <c r="C19" i="1"/>
  <c r="D19" i="1"/>
  <c r="E19" i="1"/>
  <c r="F19" i="1"/>
  <c r="K19" i="1" s="1"/>
  <c r="N19" i="1" s="1"/>
  <c r="G19" i="1"/>
  <c r="H19" i="1"/>
  <c r="L19" i="1"/>
  <c r="M19" i="1"/>
  <c r="C20" i="1"/>
  <c r="K20" i="1" s="1"/>
  <c r="D20" i="1"/>
  <c r="E20" i="1"/>
  <c r="F20" i="1"/>
  <c r="G20" i="1"/>
  <c r="H20" i="1"/>
  <c r="M20" i="1"/>
  <c r="L20" i="1" s="1"/>
  <c r="C21" i="1"/>
  <c r="D21" i="1"/>
  <c r="E21" i="1"/>
  <c r="F21" i="1"/>
  <c r="K21" i="1" s="1"/>
  <c r="N21" i="1" s="1"/>
  <c r="G21" i="1"/>
  <c r="H21" i="1"/>
  <c r="L21" i="1"/>
  <c r="M21" i="1"/>
  <c r="C22" i="1"/>
  <c r="K22" i="1" s="1"/>
  <c r="D22" i="1"/>
  <c r="E22" i="1"/>
  <c r="F22" i="1"/>
  <c r="G22" i="1"/>
  <c r="H22" i="1"/>
  <c r="M22" i="1"/>
  <c r="L22" i="1" s="1"/>
  <c r="N22" i="1"/>
  <c r="C23" i="1"/>
  <c r="D23" i="1"/>
  <c r="E23" i="1"/>
  <c r="F23" i="1"/>
  <c r="K23" i="1" s="1"/>
  <c r="N23" i="1" s="1"/>
  <c r="G23" i="1"/>
  <c r="H23" i="1"/>
  <c r="L23" i="1"/>
  <c r="M23" i="1"/>
  <c r="C24" i="1"/>
  <c r="K24" i="1" s="1"/>
  <c r="D24" i="1"/>
  <c r="E24" i="1"/>
  <c r="F24" i="1"/>
  <c r="G24" i="1"/>
  <c r="H24" i="1"/>
  <c r="M24" i="1"/>
  <c r="L24" i="1" s="1"/>
  <c r="N24" i="1"/>
  <c r="C25" i="1"/>
  <c r="D25" i="1"/>
  <c r="E25" i="1"/>
  <c r="F25" i="1"/>
  <c r="K25" i="1" s="1"/>
  <c r="N25" i="1" s="1"/>
  <c r="G25" i="1"/>
  <c r="H25" i="1"/>
  <c r="L25" i="1"/>
  <c r="M25" i="1"/>
  <c r="C26" i="1"/>
  <c r="K26" i="1" s="1"/>
  <c r="D26" i="1"/>
  <c r="E26" i="1"/>
  <c r="F26" i="1"/>
  <c r="G26" i="1"/>
  <c r="H26" i="1"/>
  <c r="M26" i="1"/>
  <c r="L26" i="1" s="1"/>
  <c r="N26" i="1"/>
  <c r="C27" i="1"/>
  <c r="D27" i="1"/>
  <c r="E27" i="1"/>
  <c r="F27" i="1"/>
  <c r="K27" i="1" s="1"/>
  <c r="N27" i="1" s="1"/>
  <c r="G27" i="1"/>
  <c r="H27" i="1"/>
  <c r="L27" i="1"/>
  <c r="M27" i="1"/>
  <c r="C28" i="1"/>
  <c r="K28" i="1" s="1"/>
  <c r="D28" i="1"/>
  <c r="E28" i="1"/>
  <c r="F28" i="1"/>
  <c r="G28" i="1"/>
  <c r="H28" i="1"/>
  <c r="M28" i="1"/>
  <c r="L28" i="1" s="1"/>
  <c r="N28" i="1"/>
  <c r="C29" i="1"/>
  <c r="D29" i="1"/>
  <c r="E29" i="1"/>
  <c r="F29" i="1"/>
  <c r="K29" i="1" s="1"/>
  <c r="N29" i="1" s="1"/>
  <c r="G29" i="1"/>
  <c r="H29" i="1"/>
  <c r="L29" i="1"/>
  <c r="M29" i="1"/>
  <c r="C30" i="1"/>
  <c r="K30" i="1" s="1"/>
  <c r="D30" i="1"/>
  <c r="E30" i="1"/>
  <c r="F30" i="1"/>
  <c r="G30" i="1"/>
  <c r="H30" i="1"/>
  <c r="M30" i="1"/>
  <c r="L30" i="1" s="1"/>
  <c r="N30" i="1"/>
  <c r="C31" i="1"/>
  <c r="D31" i="1"/>
  <c r="E31" i="1"/>
  <c r="F31" i="1"/>
  <c r="K31" i="1" s="1"/>
  <c r="N31" i="1" s="1"/>
  <c r="G31" i="1"/>
  <c r="H31" i="1"/>
  <c r="L31" i="1"/>
  <c r="M31" i="1"/>
  <c r="C32" i="1"/>
  <c r="K32" i="1" s="1"/>
  <c r="D32" i="1"/>
  <c r="E32" i="1"/>
  <c r="F32" i="1"/>
  <c r="G32" i="1"/>
  <c r="H32" i="1"/>
  <c r="M32" i="1"/>
  <c r="L32" i="1" s="1"/>
  <c r="N32" i="1"/>
  <c r="C33" i="1"/>
  <c r="D33" i="1"/>
  <c r="E33" i="1"/>
  <c r="F33" i="1"/>
  <c r="K33" i="1" s="1"/>
  <c r="N33" i="1" s="1"/>
  <c r="G33" i="1"/>
  <c r="H33" i="1"/>
  <c r="L33" i="1"/>
  <c r="M33" i="1"/>
  <c r="C34" i="1"/>
  <c r="K34" i="1" s="1"/>
  <c r="D34" i="1"/>
  <c r="E34" i="1"/>
  <c r="F34" i="1"/>
  <c r="G34" i="1"/>
  <c r="H34" i="1"/>
  <c r="M34" i="1"/>
  <c r="L34" i="1" s="1"/>
  <c r="N34" i="1"/>
  <c r="C35" i="1"/>
  <c r="D35" i="1"/>
  <c r="E35" i="1"/>
  <c r="F35" i="1"/>
  <c r="G35" i="1"/>
  <c r="H35" i="1"/>
  <c r="L35" i="1"/>
  <c r="M35" i="1"/>
  <c r="C36" i="1"/>
  <c r="K36" i="1" s="1"/>
  <c r="D36" i="1"/>
  <c r="E36" i="1"/>
  <c r="F36" i="1"/>
  <c r="G36" i="1"/>
  <c r="H36" i="1"/>
  <c r="M36" i="1"/>
  <c r="L36" i="1" s="1"/>
  <c r="N36" i="1"/>
  <c r="C37" i="1"/>
  <c r="D37" i="1"/>
  <c r="E37" i="1"/>
  <c r="F37" i="1"/>
  <c r="K37" i="1" s="1"/>
  <c r="N37" i="1" s="1"/>
  <c r="G37" i="1"/>
  <c r="H37" i="1"/>
  <c r="L37" i="1"/>
  <c r="M37" i="1"/>
  <c r="C38" i="1"/>
  <c r="K38" i="1" s="1"/>
  <c r="D38" i="1"/>
  <c r="E38" i="1"/>
  <c r="F38" i="1"/>
  <c r="G38" i="1"/>
  <c r="H38" i="1"/>
  <c r="M38" i="1"/>
  <c r="L38" i="1" s="1"/>
  <c r="N38" i="1"/>
  <c r="C39" i="1"/>
  <c r="D39" i="1"/>
  <c r="E39" i="1"/>
  <c r="F39" i="1"/>
  <c r="K39" i="1" s="1"/>
  <c r="N39" i="1" s="1"/>
  <c r="G39" i="1"/>
  <c r="H39" i="1"/>
  <c r="L39" i="1"/>
  <c r="M39" i="1"/>
  <c r="C40" i="1"/>
  <c r="K40" i="1" s="1"/>
  <c r="D40" i="1"/>
  <c r="E40" i="1"/>
  <c r="F40" i="1"/>
  <c r="G40" i="1"/>
  <c r="H40" i="1"/>
  <c r="M40" i="1"/>
  <c r="L40" i="1" s="1"/>
  <c r="N40" i="1"/>
  <c r="C41" i="1"/>
  <c r="D41" i="1"/>
  <c r="E41" i="1"/>
  <c r="F41" i="1"/>
  <c r="K41" i="1" s="1"/>
  <c r="N41" i="1" s="1"/>
  <c r="G41" i="1"/>
  <c r="H41" i="1"/>
  <c r="L41" i="1"/>
  <c r="M41" i="1"/>
  <c r="C42" i="1"/>
  <c r="K42" i="1" s="1"/>
  <c r="D42" i="1"/>
  <c r="E42" i="1"/>
  <c r="F42" i="1"/>
  <c r="G42" i="1"/>
  <c r="H42" i="1"/>
  <c r="M42" i="1"/>
  <c r="L42" i="1" s="1"/>
  <c r="N42" i="1"/>
  <c r="C43" i="1"/>
  <c r="D43" i="1"/>
  <c r="E43" i="1"/>
  <c r="F43" i="1"/>
  <c r="K43" i="1" s="1"/>
  <c r="N43" i="1" s="1"/>
  <c r="G43" i="1"/>
  <c r="H43" i="1"/>
  <c r="L43" i="1"/>
  <c r="M43" i="1"/>
  <c r="C44" i="1"/>
  <c r="K44" i="1" s="1"/>
  <c r="D44" i="1"/>
  <c r="E44" i="1"/>
  <c r="F44" i="1"/>
  <c r="G44" i="1"/>
  <c r="H44" i="1"/>
  <c r="M44" i="1"/>
  <c r="L44" i="1" s="1"/>
  <c r="N44" i="1"/>
  <c r="C45" i="1"/>
  <c r="D45" i="1"/>
  <c r="E45" i="1"/>
  <c r="F45" i="1"/>
  <c r="K45" i="1" s="1"/>
  <c r="G45" i="1"/>
  <c r="H45" i="1"/>
  <c r="M45" i="1"/>
  <c r="L45" i="1" s="1"/>
  <c r="C46" i="1"/>
  <c r="D46" i="1"/>
  <c r="E46" i="1"/>
  <c r="F46" i="1"/>
  <c r="G46" i="1"/>
  <c r="H46" i="1"/>
  <c r="K46" i="1"/>
  <c r="M46" i="1"/>
  <c r="L46" i="1" s="1"/>
  <c r="N46" i="1" s="1"/>
  <c r="C47" i="1"/>
  <c r="D47" i="1"/>
  <c r="E47" i="1"/>
  <c r="F47" i="1"/>
  <c r="G47" i="1"/>
  <c r="H47" i="1"/>
  <c r="L47" i="1"/>
  <c r="M47" i="1"/>
  <c r="C48" i="1"/>
  <c r="D48" i="1"/>
  <c r="E48" i="1"/>
  <c r="F48" i="1"/>
  <c r="G48" i="1"/>
  <c r="H48" i="1"/>
  <c r="K48" i="1"/>
  <c r="N48" i="1" s="1"/>
  <c r="M48" i="1"/>
  <c r="L48" i="1" s="1"/>
  <c r="C49" i="1"/>
  <c r="D49" i="1"/>
  <c r="E49" i="1"/>
  <c r="F49" i="1"/>
  <c r="G49" i="1"/>
  <c r="H49" i="1"/>
  <c r="L49" i="1"/>
  <c r="M49" i="1"/>
  <c r="C50" i="1"/>
  <c r="D50" i="1"/>
  <c r="K50" i="1" s="1"/>
  <c r="N50" i="1" s="1"/>
  <c r="E50" i="1"/>
  <c r="F50" i="1"/>
  <c r="G50" i="1"/>
  <c r="H50" i="1"/>
  <c r="M50" i="1"/>
  <c r="L50" i="1" s="1"/>
  <c r="C51" i="1"/>
  <c r="K51" i="1" s="1"/>
  <c r="D51" i="1"/>
  <c r="E51" i="1"/>
  <c r="F51" i="1"/>
  <c r="G51" i="1"/>
  <c r="H51" i="1"/>
  <c r="M51" i="1"/>
  <c r="L51" i="1" s="1"/>
  <c r="C52" i="1"/>
  <c r="D52" i="1"/>
  <c r="K52" i="1" s="1"/>
  <c r="N52" i="1" s="1"/>
  <c r="E52" i="1"/>
  <c r="F52" i="1"/>
  <c r="G52" i="1"/>
  <c r="H52" i="1"/>
  <c r="M52" i="1"/>
  <c r="L52" i="1" s="1"/>
  <c r="C53" i="1"/>
  <c r="D53" i="1"/>
  <c r="E53" i="1"/>
  <c r="F53" i="1"/>
  <c r="G53" i="1"/>
  <c r="H53" i="1"/>
  <c r="M53" i="1"/>
  <c r="L53" i="1" s="1"/>
  <c r="C54" i="1"/>
  <c r="D54" i="1"/>
  <c r="E54" i="1"/>
  <c r="F54" i="1"/>
  <c r="G54" i="1"/>
  <c r="H54" i="1"/>
  <c r="K54" i="1"/>
  <c r="M54" i="1"/>
  <c r="L54" i="1" s="1"/>
  <c r="N54" i="1" s="1"/>
  <c r="C55" i="1"/>
  <c r="D55" i="1"/>
  <c r="E55" i="1"/>
  <c r="F55" i="1"/>
  <c r="G55" i="1"/>
  <c r="H55" i="1"/>
  <c r="L55" i="1"/>
  <c r="M55" i="1"/>
  <c r="C56" i="1"/>
  <c r="D56" i="1"/>
  <c r="E56" i="1"/>
  <c r="F56" i="1"/>
  <c r="G56" i="1"/>
  <c r="H56" i="1"/>
  <c r="K56" i="1"/>
  <c r="N56" i="1" s="1"/>
  <c r="M56" i="1"/>
  <c r="L56" i="1" s="1"/>
  <c r="C57" i="1"/>
  <c r="D57" i="1"/>
  <c r="E57" i="1"/>
  <c r="F57" i="1"/>
  <c r="G57" i="1"/>
  <c r="H57" i="1"/>
  <c r="L57" i="1"/>
  <c r="M57" i="1"/>
  <c r="C58" i="1"/>
  <c r="D58" i="1"/>
  <c r="K58" i="1" s="1"/>
  <c r="N58" i="1" s="1"/>
  <c r="E58" i="1"/>
  <c r="F58" i="1"/>
  <c r="G58" i="1"/>
  <c r="H58" i="1"/>
  <c r="M58" i="1"/>
  <c r="L58" i="1" s="1"/>
  <c r="C59" i="1"/>
  <c r="K59" i="1" s="1"/>
  <c r="D59" i="1"/>
  <c r="E59" i="1"/>
  <c r="F59" i="1"/>
  <c r="G59" i="1"/>
  <c r="H59" i="1"/>
  <c r="M59" i="1"/>
  <c r="L59" i="1" s="1"/>
  <c r="C60" i="1"/>
  <c r="K60" i="1" s="1"/>
  <c r="N60" i="1" s="1"/>
  <c r="D60" i="1"/>
  <c r="E60" i="1"/>
  <c r="F60" i="1"/>
  <c r="G60" i="1"/>
  <c r="H60" i="1"/>
  <c r="M60" i="1"/>
  <c r="L60" i="1" s="1"/>
  <c r="C61" i="1"/>
  <c r="D61" i="1"/>
  <c r="E61" i="1"/>
  <c r="F61" i="1"/>
  <c r="G61" i="1"/>
  <c r="H61" i="1"/>
  <c r="K61" i="1"/>
  <c r="N61" i="1" s="1"/>
  <c r="L61" i="1"/>
  <c r="M61" i="1"/>
  <c r="C62" i="1"/>
  <c r="D62" i="1"/>
  <c r="K62" i="1" s="1"/>
  <c r="N62" i="1" s="1"/>
  <c r="E62" i="1"/>
  <c r="F62" i="1"/>
  <c r="G62" i="1"/>
  <c r="H62" i="1"/>
  <c r="M62" i="1"/>
  <c r="L62" i="1" s="1"/>
  <c r="C63" i="1"/>
  <c r="K63" i="1" s="1"/>
  <c r="D63" i="1"/>
  <c r="E63" i="1"/>
  <c r="F63" i="1"/>
  <c r="G63" i="1"/>
  <c r="H63" i="1"/>
  <c r="M63" i="1"/>
  <c r="L63" i="1" s="1"/>
  <c r="C64" i="1"/>
  <c r="K64" i="1" s="1"/>
  <c r="N64" i="1" s="1"/>
  <c r="D64" i="1"/>
  <c r="E64" i="1"/>
  <c r="F64" i="1"/>
  <c r="G64" i="1"/>
  <c r="H64" i="1"/>
  <c r="M64" i="1"/>
  <c r="L64" i="1" s="1"/>
  <c r="C65" i="1"/>
  <c r="D65" i="1"/>
  <c r="E65" i="1"/>
  <c r="F65" i="1"/>
  <c r="G65" i="1"/>
  <c r="H65" i="1"/>
  <c r="K65" i="1"/>
  <c r="N65" i="1" s="1"/>
  <c r="L65" i="1"/>
  <c r="M65" i="1"/>
  <c r="C66" i="1"/>
  <c r="D66" i="1"/>
  <c r="K66" i="1" s="1"/>
  <c r="N66" i="1" s="1"/>
  <c r="E66" i="1"/>
  <c r="F66" i="1"/>
  <c r="G66" i="1"/>
  <c r="H66" i="1"/>
  <c r="M66" i="1"/>
  <c r="L66" i="1" s="1"/>
  <c r="C67" i="1"/>
  <c r="K67" i="1" s="1"/>
  <c r="D67" i="1"/>
  <c r="E67" i="1"/>
  <c r="F67" i="1"/>
  <c r="G67" i="1"/>
  <c r="H67" i="1"/>
  <c r="M67" i="1"/>
  <c r="L67" i="1" s="1"/>
  <c r="C68" i="1"/>
  <c r="K68" i="1" s="1"/>
  <c r="N68" i="1" s="1"/>
  <c r="D68" i="1"/>
  <c r="E68" i="1"/>
  <c r="F68" i="1"/>
  <c r="G68" i="1"/>
  <c r="H68" i="1"/>
  <c r="M68" i="1"/>
  <c r="L68" i="1" s="1"/>
  <c r="C69" i="1"/>
  <c r="D69" i="1"/>
  <c r="E69" i="1"/>
  <c r="F69" i="1"/>
  <c r="G69" i="1"/>
  <c r="H69" i="1"/>
  <c r="K69" i="1"/>
  <c r="N69" i="1" s="1"/>
  <c r="L69" i="1"/>
  <c r="M69" i="1"/>
  <c r="C70" i="1"/>
  <c r="D70" i="1"/>
  <c r="K70" i="1" s="1"/>
  <c r="N70" i="1" s="1"/>
  <c r="E70" i="1"/>
  <c r="F70" i="1"/>
  <c r="G70" i="1"/>
  <c r="H70" i="1"/>
  <c r="M70" i="1"/>
  <c r="L70" i="1" s="1"/>
  <c r="C71" i="1"/>
  <c r="K71" i="1" s="1"/>
  <c r="N71" i="1" s="1"/>
  <c r="D71" i="1"/>
  <c r="E71" i="1"/>
  <c r="F71" i="1"/>
  <c r="G71" i="1"/>
  <c r="H71" i="1"/>
  <c r="M71" i="1"/>
  <c r="L71" i="1" s="1"/>
  <c r="C72" i="1"/>
  <c r="K72" i="1" s="1"/>
  <c r="N72" i="1" s="1"/>
  <c r="D72" i="1"/>
  <c r="E72" i="1"/>
  <c r="F72" i="1"/>
  <c r="G72" i="1"/>
  <c r="H72" i="1"/>
  <c r="M72" i="1"/>
  <c r="L72" i="1" s="1"/>
  <c r="C73" i="1"/>
  <c r="D73" i="1"/>
  <c r="E73" i="1"/>
  <c r="F73" i="1"/>
  <c r="G73" i="1"/>
  <c r="H73" i="1"/>
  <c r="K73" i="1"/>
  <c r="N73" i="1" s="1"/>
  <c r="L73" i="1"/>
  <c r="M73" i="1"/>
  <c r="C74" i="1"/>
  <c r="D74" i="1"/>
  <c r="K74" i="1" s="1"/>
  <c r="N74" i="1" s="1"/>
  <c r="E74" i="1"/>
  <c r="F74" i="1"/>
  <c r="G74" i="1"/>
  <c r="H74" i="1"/>
  <c r="M74" i="1"/>
  <c r="L74" i="1" s="1"/>
  <c r="C75" i="1"/>
  <c r="K75" i="1" s="1"/>
  <c r="N75" i="1" s="1"/>
  <c r="D75" i="1"/>
  <c r="E75" i="1"/>
  <c r="F75" i="1"/>
  <c r="G75" i="1"/>
  <c r="H75" i="1"/>
  <c r="M75" i="1"/>
  <c r="L75" i="1" s="1"/>
  <c r="C76" i="1"/>
  <c r="K76" i="1" s="1"/>
  <c r="N76" i="1" s="1"/>
  <c r="D76" i="1"/>
  <c r="E76" i="1"/>
  <c r="F76" i="1"/>
  <c r="G76" i="1"/>
  <c r="H76" i="1"/>
  <c r="M76" i="1"/>
  <c r="L76" i="1" s="1"/>
  <c r="C77" i="1"/>
  <c r="D77" i="1"/>
  <c r="E77" i="1"/>
  <c r="F77" i="1"/>
  <c r="G77" i="1"/>
  <c r="H77" i="1"/>
  <c r="K77" i="1"/>
  <c r="N77" i="1" s="1"/>
  <c r="L77" i="1"/>
  <c r="M77" i="1"/>
  <c r="C78" i="1"/>
  <c r="D78" i="1"/>
  <c r="K78" i="1" s="1"/>
  <c r="N78" i="1" s="1"/>
  <c r="E78" i="1"/>
  <c r="F78" i="1"/>
  <c r="G78" i="1"/>
  <c r="H78" i="1"/>
  <c r="M78" i="1"/>
  <c r="L78" i="1" s="1"/>
  <c r="C79" i="1"/>
  <c r="K79" i="1" s="1"/>
  <c r="N79" i="1" s="1"/>
  <c r="D79" i="1"/>
  <c r="E79" i="1"/>
  <c r="F79" i="1"/>
  <c r="G79" i="1"/>
  <c r="H79" i="1"/>
  <c r="M79" i="1"/>
  <c r="L79" i="1" s="1"/>
  <c r="C80" i="1"/>
  <c r="K80" i="1" s="1"/>
  <c r="N80" i="1" s="1"/>
  <c r="D80" i="1"/>
  <c r="E80" i="1"/>
  <c r="F80" i="1"/>
  <c r="G80" i="1"/>
  <c r="H80" i="1"/>
  <c r="M80" i="1"/>
  <c r="L80" i="1" s="1"/>
  <c r="C81" i="1"/>
  <c r="D81" i="1"/>
  <c r="E81" i="1"/>
  <c r="F81" i="1"/>
  <c r="G81" i="1"/>
  <c r="H81" i="1"/>
  <c r="K81" i="1"/>
  <c r="N81" i="1" s="1"/>
  <c r="L81" i="1"/>
  <c r="M81" i="1"/>
  <c r="C82" i="1"/>
  <c r="D82" i="1"/>
  <c r="K82" i="1" s="1"/>
  <c r="N82" i="1" s="1"/>
  <c r="E82" i="1"/>
  <c r="F82" i="1"/>
  <c r="G82" i="1"/>
  <c r="H82" i="1"/>
  <c r="M82" i="1"/>
  <c r="L82" i="1" s="1"/>
  <c r="C83" i="1"/>
  <c r="K83" i="1" s="1"/>
  <c r="D83" i="1"/>
  <c r="E83" i="1"/>
  <c r="F83" i="1"/>
  <c r="G83" i="1"/>
  <c r="H83" i="1"/>
  <c r="M83" i="1"/>
  <c r="L83" i="1" s="1"/>
  <c r="M4" i="1"/>
  <c r="L4" i="1" s="1"/>
  <c r="N83" i="1" l="1"/>
  <c r="N67" i="1"/>
  <c r="N59" i="1"/>
  <c r="N63" i="1"/>
  <c r="N51" i="1"/>
  <c r="N12" i="1"/>
  <c r="K57" i="1"/>
  <c r="N57" i="1" s="1"/>
  <c r="K49" i="1"/>
  <c r="N49" i="1" s="1"/>
  <c r="K35" i="1"/>
  <c r="N35" i="1" s="1"/>
  <c r="K55" i="1"/>
  <c r="N55" i="1" s="1"/>
  <c r="K47" i="1"/>
  <c r="N47" i="1" s="1"/>
  <c r="N20" i="1"/>
  <c r="N14" i="1"/>
  <c r="N45" i="1"/>
  <c r="K53" i="1"/>
  <c r="N53" i="1" s="1"/>
  <c r="C4" i="1"/>
  <c r="D4" i="1" l="1"/>
  <c r="E4" i="1"/>
  <c r="F4" i="1"/>
  <c r="G4" i="1"/>
  <c r="H4" i="1"/>
  <c r="K4" i="1" l="1"/>
  <c r="N4" i="1" s="1"/>
</calcChain>
</file>

<file path=xl/comments1.xml><?xml version="1.0" encoding="utf-8"?>
<comments xmlns="http://schemas.openxmlformats.org/spreadsheetml/2006/main">
  <authors>
    <author>Christof Schwarz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Christof Schwarz:</t>
        </r>
        <r>
          <rPr>
            <sz val="9"/>
            <color indexed="81"/>
            <rFont val="Tahoma"/>
            <family val="2"/>
          </rPr>
          <t xml:space="preserve">
must contain YYYY and MM and DD and hh and mm and ss at the position where it is found in the file name.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Christof Schwarz:</t>
        </r>
        <r>
          <rPr>
            <sz val="9"/>
            <color indexed="81"/>
            <rFont val="Tahoma"/>
            <family val="2"/>
          </rPr>
          <t xml:space="preserve">
offset in hours:minutes:seconds which should be added/deducted from the file timestamp</t>
        </r>
      </text>
    </comment>
  </commentList>
</comments>
</file>

<file path=xl/sharedStrings.xml><?xml version="1.0" encoding="utf-8"?>
<sst xmlns="http://schemas.openxmlformats.org/spreadsheetml/2006/main" count="262" uniqueCount="103">
  <si>
    <t>YYYY</t>
  </si>
  <si>
    <t>MM</t>
  </si>
  <si>
    <t>DD</t>
  </si>
  <si>
    <t>hh</t>
  </si>
  <si>
    <t>mm</t>
  </si>
  <si>
    <t>Suffix</t>
  </si>
  <si>
    <t>Extension</t>
  </si>
  <si>
    <t>ss</t>
  </si>
  <si>
    <t>Corrected Timestamp</t>
  </si>
  <si>
    <t>earlier</t>
  </si>
  <si>
    <t>New Filename</t>
  </si>
  <si>
    <t>Offset</t>
  </si>
  <si>
    <t>Input Format String</t>
  </si>
  <si>
    <t>Output Format</t>
  </si>
  <si>
    <t>Scan Folder</t>
  </si>
  <si>
    <t>Direction</t>
  </si>
  <si>
    <t>File Pattern (e.g. *.*)</t>
  </si>
  <si>
    <t>Original Filename</t>
  </si>
  <si>
    <t>JJJJ-MM-TT hh.mm.ss</t>
  </si>
  <si>
    <t>C:\Users\Julia\Documents\Handy Bilder\2019\3</t>
  </si>
  <si>
    <t>Foto*</t>
  </si>
  <si>
    <t>Foto 01.03.19, 07 11 56.mp4</t>
  </si>
  <si>
    <t>Foto 01.04.19, 21 02 42.mp4</t>
  </si>
  <si>
    <t>Foto 02.03.19, 12 04 48.mp4</t>
  </si>
  <si>
    <t>Foto 02.03.19, 20 16 09.mp4</t>
  </si>
  <si>
    <t>Foto 03.03.19, 17 43 46 (2).mov</t>
  </si>
  <si>
    <t>Foto 03.03.19, 17 43 46 (3).mov</t>
  </si>
  <si>
    <t>Foto 05.03.19, 07 22 51.jpg</t>
  </si>
  <si>
    <t>Foto 05.03.19, 18 57 46.jpg</t>
  </si>
  <si>
    <t>Foto 05.03.19, 18 58 06.jpg</t>
  </si>
  <si>
    <t>Foto 05.03.19, 19 09 24.jpg</t>
  </si>
  <si>
    <t>Foto 05.03.19, 19 10 28.jpg</t>
  </si>
  <si>
    <t>Foto 05.03.19, 19 24 18.jpg</t>
  </si>
  <si>
    <t>Foto 06.03.19, 06 59 05 (1).jpg</t>
  </si>
  <si>
    <t>Foto 06.03.19, 06 59 05.jpg</t>
  </si>
  <si>
    <t>Foto 09.03.19, 16 12 49.mp4</t>
  </si>
  <si>
    <t>Foto 09.03.19, 21 40 01.jpg</t>
  </si>
  <si>
    <t>Foto 09.03.19, 21 44 09.jpg</t>
  </si>
  <si>
    <t>Foto 09.03.19, 21 44 36.jpg</t>
  </si>
  <si>
    <t>Foto 09.03.19, 21 45 28.jpg</t>
  </si>
  <si>
    <t>Foto 09.03.19, 21 45 51.jpg</t>
  </si>
  <si>
    <t>Foto 09.03.19, 21 46 36.jpg</t>
  </si>
  <si>
    <t>Foto 09.03.19, 21 49 46.mp4</t>
  </si>
  <si>
    <t>Foto 10.03.19, 15 26 01.jpg</t>
  </si>
  <si>
    <t>Foto 16.03.19, 14 16 40.jpg</t>
  </si>
  <si>
    <t>Foto 16.03.19, 16 11 59.mp4</t>
  </si>
  <si>
    <t>Foto 16.03.19, 22 03 07.mp4</t>
  </si>
  <si>
    <t>Foto 16.03.19, 23 20 44.mp4</t>
  </si>
  <si>
    <t>Foto 16.03.19, 23 32 04.jpg</t>
  </si>
  <si>
    <t>Foto 17.03.19, 14 35 39.jpg</t>
  </si>
  <si>
    <t>Foto 19.03.19, 13 22 59.jpg</t>
  </si>
  <si>
    <t>Foto 20.03.19, 16 23 02.mp4</t>
  </si>
  <si>
    <t>Foto 21.03.19, 07 04 26 (2).jpg</t>
  </si>
  <si>
    <t>Foto 21.03.19, 07 04 26.jpg</t>
  </si>
  <si>
    <t>Foto 21.03.19, 12 42 46.jpg</t>
  </si>
  <si>
    <t>Foto 22.03.19, 20 25 09.jpg</t>
  </si>
  <si>
    <t>Foto 23.03.19, 00 13 45.jpg</t>
  </si>
  <si>
    <t>Foto 23.03.19, 11 07 06.jpg</t>
  </si>
  <si>
    <t>Foto 23.03.19, 11 39 43.mp4</t>
  </si>
  <si>
    <t>Foto 23.03.19, 13 05 49.jpg</t>
  </si>
  <si>
    <t>Foto 23.03.19, 16 29 25.jpg</t>
  </si>
  <si>
    <t>Foto 23.03.19, 16 29 26.jpg</t>
  </si>
  <si>
    <t>Foto 23.03.19, 17 38 10.jpg</t>
  </si>
  <si>
    <t>Foto 23.03.19, 17 43 41.mov</t>
  </si>
  <si>
    <t>Foto 23.03.19, 17 43 41.mp4</t>
  </si>
  <si>
    <t>Foto 23.03.19, 18 10 27.jpg</t>
  </si>
  <si>
    <t>Foto 23.03.19, 22 42 05.jpg</t>
  </si>
  <si>
    <t>Foto 23.03.19, 22 42 41.jpg</t>
  </si>
  <si>
    <t>Foto 23.03.19, 22 42 55.jpg</t>
  </si>
  <si>
    <t>Foto 24.03.19, 00 24 43.jpg</t>
  </si>
  <si>
    <t>Foto 24.03.19, 11 28 29.jpg</t>
  </si>
  <si>
    <t>Foto 24.03.19, 11 31 21.jpg</t>
  </si>
  <si>
    <t>Foto 24.03.19, 11 32 01.jpg</t>
  </si>
  <si>
    <t>Foto 24.03.19, 11 32 06.jpg</t>
  </si>
  <si>
    <t>Foto 24.03.19, 11 36 54.jpg</t>
  </si>
  <si>
    <t>Foto 24.03.19, 11 37 57.mp4</t>
  </si>
  <si>
    <t>Foto 24.03.19, 17 38 10.jpg</t>
  </si>
  <si>
    <t>Foto 24.03.19, 17 38 21.jpg</t>
  </si>
  <si>
    <t>Foto 24.03.19, 17 38 24.jpg</t>
  </si>
  <si>
    <t>Foto 24.03.19, 18 07 40.mp4</t>
  </si>
  <si>
    <t>Foto 24.03.19, 18 13 45.mp4</t>
  </si>
  <si>
    <t>Foto 26.03.19, 22 58 02.jpg</t>
  </si>
  <si>
    <t>Foto 26.03.19, 23 14 55.jpg</t>
  </si>
  <si>
    <t>Foto 27.03.19, 10 57 47.mp4</t>
  </si>
  <si>
    <t>Foto 27.03.19, 21 58 17.mov</t>
  </si>
  <si>
    <t>Foto 27.03.19, 21 58 18.mov</t>
  </si>
  <si>
    <t>Foto 28.03.19, 21 52 16.jpg</t>
  </si>
  <si>
    <t>Foto 30.03.19, 14 19 38.jpg</t>
  </si>
  <si>
    <t>Foto 30.03.19, 14 19 39.jpg</t>
  </si>
  <si>
    <t>Foto 30.03.19, 14 19 40.jpg</t>
  </si>
  <si>
    <t>Foto 30.03.19, 14 19 42.jpg</t>
  </si>
  <si>
    <t>Foto 30.03.19, 14 19 43.jpg</t>
  </si>
  <si>
    <t>Foto 30.03.19, 14 19 44.jpg</t>
  </si>
  <si>
    <t>Foto 30.03.19, 15 18 17.jpg</t>
  </si>
  <si>
    <t>Foto 30.03.19, 15 22 54.jpg</t>
  </si>
  <si>
    <t>Foto 30.03.19, 15 25 43.jpg</t>
  </si>
  <si>
    <t>Foto 30.03.19, 15 25 49.jpg</t>
  </si>
  <si>
    <t>Foto 30.03.19, 15 55 13.jpg</t>
  </si>
  <si>
    <t>Foto 30.03.19, 15 56 30.jpg</t>
  </si>
  <si>
    <t>Foto 30.03.19, 16 15 04.jpg</t>
  </si>
  <si>
    <t>Foto 31.03.19, 12 03 41.mp4</t>
  </si>
  <si>
    <t>?????DD.MM.YY, hh mm ss</t>
  </si>
  <si>
    <t>Prefix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</si>
</sst>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/mm/dd\ hh:mm:ss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5">
    <xf numFmtId="0" fontId="0" fillId="0" borderId="0" xfId="0"/>
    <xf numFmtId="0" fontId="18" fillId="0" borderId="0" xfId="0" applyFont="1" applyAlignment="1">
      <alignment horizontal="center"/>
    </xf>
    <xf numFmtId="0" fontId="18" fillId="0" borderId="0" xfId="0" applyFont="1"/>
    <xf numFmtId="164" fontId="18" fillId="0" borderId="0" xfId="0" applyNumberFormat="1" applyFont="1" applyAlignment="1">
      <alignment horizontal="center"/>
    </xf>
    <xf numFmtId="21" fontId="1" fillId="0" borderId="0" xfId="0" applyNumberFormat="1" applyFont="1"/>
    <xf numFmtId="2" fontId="6" fillId="2" borderId="16" xfId="6" applyNumberFormat="1" applyFont="1" applyBorder="1" applyAlignment="1">
      <alignment horizontal="center"/>
    </xf>
    <xf numFmtId="0" fontId="1" fillId="0" borderId="0" xfId="0" applyFont="1"/>
    <xf numFmtId="0" fontId="1" fillId="33" borderId="0" xfId="0" applyFont="1" applyFill="1"/>
    <xf numFmtId="0" fontId="1" fillId="33" borderId="0" xfId="0" applyFont="1" applyFill="1" applyAlignment="1">
      <alignment horizontal="center"/>
    </xf>
    <xf numFmtId="0" fontId="1" fillId="0" borderId="0" xfId="0" applyNumberFormat="1" applyFont="1"/>
    <xf numFmtId="0" fontId="1" fillId="0" borderId="0" xfId="0" applyFont="1" applyAlignment="1">
      <alignment horizontal="center"/>
    </xf>
    <xf numFmtId="0" fontId="6" fillId="2" borderId="10" xfId="6" applyFont="1" applyBorder="1" applyAlignment="1"/>
    <xf numFmtId="0" fontId="6" fillId="2" borderId="11" xfId="6" applyFont="1" applyBorder="1" applyAlignment="1"/>
    <xf numFmtId="0" fontId="6" fillId="2" borderId="12" xfId="6" applyFont="1" applyBorder="1" applyAlignment="1"/>
    <xf numFmtId="0" fontId="0" fillId="33" borderId="0" xfId="0" applyFont="1" applyFill="1"/>
    <xf numFmtId="0" fontId="0" fillId="0" borderId="0" xfId="0" applyFont="1"/>
    <xf numFmtId="0" fontId="0" fillId="0" borderId="17" xfId="0" applyFont="1" applyBorder="1" applyAlignment="1">
      <alignment horizontal="center"/>
    </xf>
    <xf numFmtId="0" fontId="0" fillId="0" borderId="14" xfId="0" applyFont="1" applyBorder="1" applyAlignment="1"/>
    <xf numFmtId="0" fontId="0" fillId="0" borderId="15" xfId="0" applyFont="1" applyBorder="1" applyAlignment="1"/>
    <xf numFmtId="0" fontId="0" fillId="0" borderId="13" xfId="0" applyFont="1" applyBorder="1" applyAlignment="1">
      <alignment horizontal="left"/>
    </xf>
    <xf numFmtId="0" fontId="0" fillId="0" borderId="14" xfId="0" applyFont="1" applyBorder="1" applyAlignment="1">
      <alignment horizontal="left"/>
    </xf>
    <xf numFmtId="0" fontId="0" fillId="0" borderId="17" xfId="0" applyFont="1" applyBorder="1"/>
    <xf numFmtId="2" fontId="6" fillId="2" borderId="16" xfId="6" applyNumberFormat="1" applyFont="1" applyBorder="1" applyAlignment="1">
      <alignment horizontal="left"/>
    </xf>
    <xf numFmtId="0" fontId="0" fillId="0" borderId="17" xfId="0" applyFont="1" applyBorder="1" applyAlignment="1">
      <alignment horizontal="left"/>
    </xf>
    <xf numFmtId="0" fontId="6" fillId="2" borderId="16" xfId="6" applyFont="1" applyBorder="1" applyAlignmen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329565</xdr:colOff>
      <xdr:row>0</xdr:row>
      <xdr:rowOff>45721</xdr:rowOff>
    </xdr:from>
    <xdr:to>
      <xdr:col>1</xdr:col>
      <xdr:colOff>1167765</xdr:colOff>
      <xdr:row>0</xdr:row>
      <xdr:rowOff>268605</xdr:rowOff>
    </xdr:to>
    <xdr:sp macro="[0]!Read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8506D7B-3C56-40E2-93E1-A67F9EC0F97A}"/>
            </a:ext>
          </a:extLst>
        </xdr:cNvPr>
        <xdr:cNvSpPr/>
      </xdr:nvSpPr>
      <xdr:spPr>
        <a:xfrm>
          <a:off x="2367915" y="45721"/>
          <a:ext cx="838200" cy="222884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Scan</a:t>
          </a:r>
        </a:p>
      </xdr:txBody>
    </xdr:sp>
    <xdr:clientData/>
  </xdr:twoCellAnchor>
  <xdr:twoCellAnchor>
    <xdr:from>
      <xdr:col>12</xdr:col>
      <xdr:colOff>338629</xdr:colOff>
      <xdr:row>0</xdr:row>
      <xdr:rowOff>53340</xdr:rowOff>
    </xdr:from>
    <xdr:to>
      <xdr:col>13</xdr:col>
      <xdr:colOff>529457</xdr:colOff>
      <xdr:row>0</xdr:row>
      <xdr:rowOff>251459</xdr:rowOff>
    </xdr:to>
    <xdr:sp macro="[0]!RenameFil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C6D7B41-7A84-44B4-AD11-247FA1571EE5}"/>
            </a:ext>
          </a:extLst>
        </xdr:cNvPr>
        <xdr:cNvSpPr/>
      </xdr:nvSpPr>
      <xdr:spPr>
        <a:xfrm>
          <a:off x="9022801" y="53340"/>
          <a:ext cx="847725" cy="198119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Rename</a:t>
          </a:r>
        </a:p>
      </xdr:txBody>
    </xdr:sp>
    <xdr:clientData/>
  </xdr:twoCellAnchor>
  <xdr:twoCellAnchor>
    <xdr:from>
      <xdr:col>13</xdr:col>
      <xdr:colOff>714964</xdr:colOff>
      <xdr:row>0</xdr:row>
      <xdr:rowOff>53340</xdr:rowOff>
    </xdr:from>
    <xdr:to>
      <xdr:col>13</xdr:col>
      <xdr:colOff>1804755</xdr:colOff>
      <xdr:row>0</xdr:row>
      <xdr:rowOff>251459</xdr:rowOff>
    </xdr:to>
    <xdr:sp macro="[0]!UndoRenameFil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1ABF143-9343-4EA6-8F26-1236986007EB}"/>
            </a:ext>
          </a:extLst>
        </xdr:cNvPr>
        <xdr:cNvSpPr/>
      </xdr:nvSpPr>
      <xdr:spPr>
        <a:xfrm>
          <a:off x="10056033" y="53340"/>
          <a:ext cx="1089791" cy="198119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Undo Rename</a:t>
          </a:r>
        </a:p>
      </xdr:txBody>
    </xdr:sp>
    <xdr:clientData/>
  </xdr:twoCellAnchor>
  <xdr:twoCellAnchor>
    <xdr:from>
      <xdr:col>0</xdr:col>
      <xdr:colOff>1326173</xdr:colOff>
      <xdr:row>0</xdr:row>
      <xdr:rowOff>47887</xdr:rowOff>
    </xdr:from>
    <xdr:to>
      <xdr:col>1</xdr:col>
      <xdr:colOff>186104</xdr:colOff>
      <xdr:row>0</xdr:row>
      <xdr:rowOff>270771</xdr:rowOff>
    </xdr:to>
    <xdr:sp macro="[0]!ChooseFolder" textlink="">
      <xdr:nvSpPr>
        <xdr:cNvPr id="5" name="Rectangle: Rounded Corners 1">
          <a:extLst>
            <a:ext uri="{FF2B5EF4-FFF2-40B4-BE49-F238E27FC236}">
              <a16:creationId xmlns:a16="http://schemas.microsoft.com/office/drawing/2014/main" id="{CA06E60F-7577-405D-8C6C-7A97AF499940}"/>
            </a:ext>
          </a:extLst>
        </xdr:cNvPr>
        <xdr:cNvSpPr/>
      </xdr:nvSpPr>
      <xdr:spPr>
        <a:xfrm>
          <a:off x="1326173" y="47887"/>
          <a:ext cx="839770" cy="222884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Choose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70"/>
  <sheetViews>
    <sheetView tabSelected="1" zoomScaleNormal="100" workbookViewId="0">
      <pane ySplit="3" topLeftCell="A4" activePane="bottomLeft" state="frozen"/>
      <selection pane="bottomLeft" activeCell="C24" sqref="C24"/>
    </sheetView>
  </sheetViews>
  <sheetFormatPr baseColWidth="10" defaultColWidth="8.85546875" defaultRowHeight="15" x14ac:dyDescent="0.25"/>
  <cols>
    <col min="1" max="1" width="29.7109375" style="6" bestFit="1" customWidth="1"/>
    <col min="2" max="2" width="23.7109375" style="6" customWidth="1"/>
    <col min="3" max="3" width="5.42578125" style="10" bestFit="1" customWidth="1"/>
    <col min="4" max="4" width="4.28515625" style="10" bestFit="1" customWidth="1"/>
    <col min="5" max="5" width="3.42578125" style="10" bestFit="1" customWidth="1"/>
    <col min="6" max="6" width="3.28515625" style="10" bestFit="1" customWidth="1"/>
    <col min="7" max="7" width="4.28515625" style="10" bestFit="1" customWidth="1"/>
    <col min="8" max="8" width="3" style="10" bestFit="1" customWidth="1"/>
    <col min="9" max="9" width="10.28515625" style="6" customWidth="1"/>
    <col min="10" max="10" width="8.85546875" style="6" bestFit="1" customWidth="1"/>
    <col min="11" max="11" width="21.28515625" style="10" customWidth="1"/>
    <col min="12" max="12" width="11.7109375" style="6" customWidth="1"/>
    <col min="13" max="13" width="9.5703125" style="6" customWidth="1"/>
    <col min="14" max="14" width="32.28515625" style="6" bestFit="1" customWidth="1"/>
    <col min="15" max="16384" width="8.85546875" style="6"/>
  </cols>
  <sheetData>
    <row r="1" spans="1:14" ht="23.45" customHeight="1" x14ac:dyDescent="0.25">
      <c r="A1" s="11" t="s">
        <v>14</v>
      </c>
      <c r="B1" s="12"/>
      <c r="C1" s="12"/>
      <c r="D1" s="12" t="s">
        <v>16</v>
      </c>
      <c r="E1" s="12"/>
      <c r="F1" s="12"/>
      <c r="G1" s="12"/>
      <c r="H1" s="12"/>
      <c r="I1" s="13"/>
      <c r="J1" s="24" t="s">
        <v>102</v>
      </c>
      <c r="K1" s="5" t="s">
        <v>13</v>
      </c>
      <c r="L1" s="22" t="s">
        <v>5</v>
      </c>
    </row>
    <row r="2" spans="1:14" x14ac:dyDescent="0.25">
      <c r="A2" s="19" t="s">
        <v>19</v>
      </c>
      <c r="B2" s="20"/>
      <c r="C2" s="20"/>
      <c r="D2" s="17" t="s">
        <v>20</v>
      </c>
      <c r="E2" s="17"/>
      <c r="F2" s="17"/>
      <c r="G2" s="17"/>
      <c r="H2" s="17"/>
      <c r="I2" s="18"/>
      <c r="J2" s="21"/>
      <c r="K2" s="16" t="s">
        <v>18</v>
      </c>
      <c r="L2" s="23"/>
    </row>
    <row r="3" spans="1:14" s="7" customFormat="1" x14ac:dyDescent="0.25">
      <c r="A3" s="14" t="s">
        <v>17</v>
      </c>
      <c r="B3" s="7" t="s">
        <v>12</v>
      </c>
      <c r="C3" s="8" t="s">
        <v>0</v>
      </c>
      <c r="D3" s="8" t="s">
        <v>1</v>
      </c>
      <c r="E3" s="8" t="s">
        <v>2</v>
      </c>
      <c r="F3" s="8" t="s">
        <v>3</v>
      </c>
      <c r="G3" s="8" t="s">
        <v>4</v>
      </c>
      <c r="H3" s="8" t="s">
        <v>7</v>
      </c>
      <c r="I3" s="7" t="s">
        <v>11</v>
      </c>
      <c r="J3" s="7" t="s">
        <v>15</v>
      </c>
      <c r="K3" s="8" t="s">
        <v>8</v>
      </c>
      <c r="L3" s="7" t="s">
        <v>5</v>
      </c>
      <c r="M3" s="7" t="s">
        <v>6</v>
      </c>
      <c r="N3" s="7" t="s">
        <v>10</v>
      </c>
    </row>
    <row r="4" spans="1:14" x14ac:dyDescent="0.25">
      <c r="A4" s="6" t="s">
        <v>21</v>
      </c>
      <c r="B4" s="15" t="s">
        <v>101</v>
      </c>
      <c r="C4" s="1" t="str">
        <f>IF(ISERROR(FIND("YYYY",$B4)),"20"&amp;MID($A4,FIND("YY",$B4),2),MID($A4,FIND("YYYY",$B4),4))</f>
        <v>2019</v>
      </c>
      <c r="D4" s="1" t="str">
        <f t="shared" ref="D4:D67" si="0">MID($A4,FIND("MM",$B4),2)</f>
        <v>03</v>
      </c>
      <c r="E4" s="1" t="str">
        <f t="shared" ref="E4:E67" si="1">MID($A4,FIND("DD",$B4),2)</f>
        <v>01</v>
      </c>
      <c r="F4" s="1" t="str">
        <f t="shared" ref="F4:F67" si="2">MID($A4,FIND("hh",$B4),2)</f>
        <v>07</v>
      </c>
      <c r="G4" s="1" t="str">
        <f t="shared" ref="G4:G67" si="3">MID($A4,FIND("mm",$B4),2)</f>
        <v>11</v>
      </c>
      <c r="H4" s="1" t="str">
        <f t="shared" ref="H4:H67" si="4">MID($A4,FIND("ss",$B4),2)</f>
        <v>56</v>
      </c>
      <c r="I4" s="4">
        <v>0</v>
      </c>
      <c r="J4" s="9" t="s">
        <v>9</v>
      </c>
      <c r="K4" s="3" t="str">
        <f t="shared" ref="K4" si="5">TEXT(DATE(C4,D4,E4)+TIME(F4,G4,H4)+IF(J4="earlier",-I4,I4),K$2)</f>
        <v>2019-03-01 07.11.56</v>
      </c>
      <c r="L4" s="6" t="str">
        <f>MID(A4,LEN(B4)+1,LEN(A4)-LEN(B4)-LEN(M4))&amp;$L$2</f>
        <v/>
      </c>
      <c r="M4" s="6" t="str">
        <f>MID(A4,FIND(CHAR(1),SUBSTITUTE(A4,".",CHAR(1),(LEN(A4)-LEN(SUBSTITUTE(A4,".",""))))),256)</f>
        <v>.mp4</v>
      </c>
      <c r="N4" s="2" t="str">
        <f>$J$2&amp;K4&amp;L4&amp;M4</f>
        <v>2019-03-01 07.11.56.mp4</v>
      </c>
    </row>
    <row r="5" spans="1:14" x14ac:dyDescent="0.25">
      <c r="A5" s="6" t="s">
        <v>22</v>
      </c>
      <c r="B5" s="15" t="s">
        <v>101</v>
      </c>
      <c r="C5" s="1" t="str">
        <f t="shared" ref="C5:C68" si="6">IF(ISERROR(FIND("YYYY",$B5)),"20"&amp;MID($A5,FIND("YY",$B5),2),MID($A5,FIND("YYYY",$B5),4))</f>
        <v>2019</v>
      </c>
      <c r="D5" s="1" t="str">
        <f t="shared" si="0"/>
        <v>04</v>
      </c>
      <c r="E5" s="1" t="str">
        <f t="shared" si="1"/>
        <v>01</v>
      </c>
      <c r="F5" s="1" t="str">
        <f t="shared" si="2"/>
        <v>21</v>
      </c>
      <c r="G5" s="1" t="str">
        <f t="shared" si="3"/>
        <v>02</v>
      </c>
      <c r="H5" s="1" t="str">
        <f t="shared" si="4"/>
        <v>42</v>
      </c>
      <c r="I5" s="4">
        <v>0</v>
      </c>
      <c r="J5" s="9" t="s">
        <v>9</v>
      </c>
      <c r="K5" s="3" t="str">
        <f t="shared" ref="K5:K68" si="7">TEXT(DATE(C5,D5,E5)+TIME(F5,G5,H5)+IF(J5="earlier",-I5,I5),K$2)</f>
        <v>2019-04-01 21.02.42</v>
      </c>
      <c r="L5" s="6" t="str">
        <f t="shared" ref="L5:L68" si="8">MID(A5,LEN(B5)+1,LEN(A5)-LEN(B5)-LEN(M5))&amp;$L$2</f>
        <v/>
      </c>
      <c r="M5" s="6" t="str">
        <f t="shared" ref="M5:M68" si="9">MID(A5,FIND(CHAR(1),SUBSTITUTE(A5,".",CHAR(1),(LEN(A5)-LEN(SUBSTITUTE(A5,".",""))))),256)</f>
        <v>.mp4</v>
      </c>
      <c r="N5" s="2" t="str">
        <f t="shared" ref="N5:N68" si="10">$J$2&amp;K5&amp;L5&amp;M5</f>
        <v>2019-04-01 21.02.42.mp4</v>
      </c>
    </row>
    <row r="6" spans="1:14" x14ac:dyDescent="0.25">
      <c r="A6" s="6" t="s">
        <v>23</v>
      </c>
      <c r="B6" s="15" t="s">
        <v>101</v>
      </c>
      <c r="C6" s="1" t="str">
        <f t="shared" si="6"/>
        <v>2019</v>
      </c>
      <c r="D6" s="1" t="str">
        <f t="shared" si="0"/>
        <v>03</v>
      </c>
      <c r="E6" s="1" t="str">
        <f t="shared" si="1"/>
        <v>02</v>
      </c>
      <c r="F6" s="1" t="str">
        <f t="shared" si="2"/>
        <v>12</v>
      </c>
      <c r="G6" s="1" t="str">
        <f t="shared" si="3"/>
        <v>04</v>
      </c>
      <c r="H6" s="1" t="str">
        <f t="shared" si="4"/>
        <v>48</v>
      </c>
      <c r="I6" s="4">
        <v>0</v>
      </c>
      <c r="J6" s="9" t="s">
        <v>9</v>
      </c>
      <c r="K6" s="3" t="str">
        <f t="shared" si="7"/>
        <v>2019-03-02 12.04.48</v>
      </c>
      <c r="L6" s="6" t="str">
        <f t="shared" si="8"/>
        <v/>
      </c>
      <c r="M6" s="6" t="str">
        <f t="shared" si="9"/>
        <v>.mp4</v>
      </c>
      <c r="N6" s="2" t="str">
        <f t="shared" si="10"/>
        <v>2019-03-02 12.04.48.mp4</v>
      </c>
    </row>
    <row r="7" spans="1:14" x14ac:dyDescent="0.25">
      <c r="A7" s="6" t="s">
        <v>24</v>
      </c>
      <c r="B7" s="15" t="s">
        <v>101</v>
      </c>
      <c r="C7" s="1" t="str">
        <f t="shared" si="6"/>
        <v>2019</v>
      </c>
      <c r="D7" s="1" t="str">
        <f t="shared" si="0"/>
        <v>03</v>
      </c>
      <c r="E7" s="1" t="str">
        <f t="shared" si="1"/>
        <v>02</v>
      </c>
      <c r="F7" s="1" t="str">
        <f t="shared" si="2"/>
        <v>20</v>
      </c>
      <c r="G7" s="1" t="str">
        <f t="shared" si="3"/>
        <v>16</v>
      </c>
      <c r="H7" s="1" t="str">
        <f t="shared" si="4"/>
        <v>09</v>
      </c>
      <c r="I7" s="4">
        <v>0</v>
      </c>
      <c r="J7" s="9" t="s">
        <v>9</v>
      </c>
      <c r="K7" s="3" t="str">
        <f t="shared" si="7"/>
        <v>2019-03-02 20.16.09</v>
      </c>
      <c r="L7" s="6" t="str">
        <f t="shared" si="8"/>
        <v/>
      </c>
      <c r="M7" s="6" t="str">
        <f t="shared" si="9"/>
        <v>.mp4</v>
      </c>
      <c r="N7" s="2" t="str">
        <f t="shared" si="10"/>
        <v>2019-03-02 20.16.09.mp4</v>
      </c>
    </row>
    <row r="8" spans="1:14" x14ac:dyDescent="0.25">
      <c r="A8" s="6" t="s">
        <v>25</v>
      </c>
      <c r="B8" s="15" t="s">
        <v>101</v>
      </c>
      <c r="C8" s="1" t="str">
        <f t="shared" si="6"/>
        <v>2019</v>
      </c>
      <c r="D8" s="1" t="str">
        <f t="shared" si="0"/>
        <v>03</v>
      </c>
      <c r="E8" s="1" t="str">
        <f t="shared" si="1"/>
        <v>03</v>
      </c>
      <c r="F8" s="1" t="str">
        <f t="shared" si="2"/>
        <v>17</v>
      </c>
      <c r="G8" s="1" t="str">
        <f t="shared" si="3"/>
        <v>43</v>
      </c>
      <c r="H8" s="1" t="str">
        <f t="shared" si="4"/>
        <v>46</v>
      </c>
      <c r="I8" s="4">
        <v>0</v>
      </c>
      <c r="J8" s="9" t="s">
        <v>9</v>
      </c>
      <c r="K8" s="3" t="str">
        <f t="shared" si="7"/>
        <v>2019-03-03 17.43.46</v>
      </c>
      <c r="L8" s="6" t="str">
        <f t="shared" si="8"/>
        <v xml:space="preserve"> (2)</v>
      </c>
      <c r="M8" s="6" t="str">
        <f t="shared" si="9"/>
        <v>.mov</v>
      </c>
      <c r="N8" s="2" t="str">
        <f t="shared" si="10"/>
        <v>2019-03-03 17.43.46 (2).mov</v>
      </c>
    </row>
    <row r="9" spans="1:14" x14ac:dyDescent="0.25">
      <c r="A9" s="6" t="s">
        <v>26</v>
      </c>
      <c r="B9" s="15" t="s">
        <v>101</v>
      </c>
      <c r="C9" s="1" t="str">
        <f t="shared" si="6"/>
        <v>2019</v>
      </c>
      <c r="D9" s="1" t="str">
        <f t="shared" si="0"/>
        <v>03</v>
      </c>
      <c r="E9" s="1" t="str">
        <f t="shared" si="1"/>
        <v>03</v>
      </c>
      <c r="F9" s="1" t="str">
        <f t="shared" si="2"/>
        <v>17</v>
      </c>
      <c r="G9" s="1" t="str">
        <f t="shared" si="3"/>
        <v>43</v>
      </c>
      <c r="H9" s="1" t="str">
        <f t="shared" si="4"/>
        <v>46</v>
      </c>
      <c r="I9" s="4">
        <v>0</v>
      </c>
      <c r="J9" s="9" t="s">
        <v>9</v>
      </c>
      <c r="K9" s="3" t="str">
        <f t="shared" si="7"/>
        <v>2019-03-03 17.43.46</v>
      </c>
      <c r="L9" s="6" t="str">
        <f t="shared" si="8"/>
        <v xml:space="preserve"> (3)</v>
      </c>
      <c r="M9" s="6" t="str">
        <f t="shared" si="9"/>
        <v>.mov</v>
      </c>
      <c r="N9" s="2" t="str">
        <f t="shared" si="10"/>
        <v>2019-03-03 17.43.46 (3).mov</v>
      </c>
    </row>
    <row r="10" spans="1:14" x14ac:dyDescent="0.25">
      <c r="A10" s="6" t="s">
        <v>27</v>
      </c>
      <c r="B10" s="15" t="s">
        <v>101</v>
      </c>
      <c r="C10" s="1" t="str">
        <f t="shared" si="6"/>
        <v>2019</v>
      </c>
      <c r="D10" s="1" t="str">
        <f t="shared" si="0"/>
        <v>03</v>
      </c>
      <c r="E10" s="1" t="str">
        <f t="shared" si="1"/>
        <v>05</v>
      </c>
      <c r="F10" s="1" t="str">
        <f t="shared" si="2"/>
        <v>07</v>
      </c>
      <c r="G10" s="1" t="str">
        <f t="shared" si="3"/>
        <v>22</v>
      </c>
      <c r="H10" s="1" t="str">
        <f t="shared" si="4"/>
        <v>51</v>
      </c>
      <c r="I10" s="4">
        <v>0</v>
      </c>
      <c r="J10" s="9" t="s">
        <v>9</v>
      </c>
      <c r="K10" s="3" t="str">
        <f t="shared" si="7"/>
        <v>2019-03-05 07.22.51</v>
      </c>
      <c r="L10" s="6" t="str">
        <f t="shared" si="8"/>
        <v/>
      </c>
      <c r="M10" s="6" t="str">
        <f t="shared" si="9"/>
        <v>.jpg</v>
      </c>
      <c r="N10" s="2" t="str">
        <f t="shared" si="10"/>
        <v>2019-03-05 07.22.51.jpg</v>
      </c>
    </row>
    <row r="11" spans="1:14" x14ac:dyDescent="0.25">
      <c r="A11" s="6" t="s">
        <v>28</v>
      </c>
      <c r="B11" s="15" t="s">
        <v>101</v>
      </c>
      <c r="C11" s="1" t="str">
        <f t="shared" si="6"/>
        <v>2019</v>
      </c>
      <c r="D11" s="1" t="str">
        <f t="shared" si="0"/>
        <v>03</v>
      </c>
      <c r="E11" s="1" t="str">
        <f t="shared" si="1"/>
        <v>05</v>
      </c>
      <c r="F11" s="1" t="str">
        <f t="shared" si="2"/>
        <v>18</v>
      </c>
      <c r="G11" s="1" t="str">
        <f t="shared" si="3"/>
        <v>57</v>
      </c>
      <c r="H11" s="1" t="str">
        <f t="shared" si="4"/>
        <v>46</v>
      </c>
      <c r="I11" s="4">
        <v>0</v>
      </c>
      <c r="J11" s="9" t="s">
        <v>9</v>
      </c>
      <c r="K11" s="3" t="str">
        <f t="shared" si="7"/>
        <v>2019-03-05 18.57.46</v>
      </c>
      <c r="L11" s="6" t="str">
        <f t="shared" si="8"/>
        <v/>
      </c>
      <c r="M11" s="6" t="str">
        <f t="shared" si="9"/>
        <v>.jpg</v>
      </c>
      <c r="N11" s="2" t="str">
        <f t="shared" si="10"/>
        <v>2019-03-05 18.57.46.jpg</v>
      </c>
    </row>
    <row r="12" spans="1:14" x14ac:dyDescent="0.25">
      <c r="A12" s="6" t="s">
        <v>29</v>
      </c>
      <c r="B12" s="15" t="s">
        <v>101</v>
      </c>
      <c r="C12" s="1" t="str">
        <f t="shared" si="6"/>
        <v>2019</v>
      </c>
      <c r="D12" s="1" t="str">
        <f t="shared" si="0"/>
        <v>03</v>
      </c>
      <c r="E12" s="1" t="str">
        <f t="shared" si="1"/>
        <v>05</v>
      </c>
      <c r="F12" s="1" t="str">
        <f t="shared" si="2"/>
        <v>18</v>
      </c>
      <c r="G12" s="1" t="str">
        <f t="shared" si="3"/>
        <v>58</v>
      </c>
      <c r="H12" s="1" t="str">
        <f t="shared" si="4"/>
        <v>06</v>
      </c>
      <c r="I12" s="4">
        <v>0</v>
      </c>
      <c r="J12" s="9" t="s">
        <v>9</v>
      </c>
      <c r="K12" s="3" t="str">
        <f t="shared" si="7"/>
        <v>2019-03-05 18.58.06</v>
      </c>
      <c r="L12" s="6" t="str">
        <f t="shared" si="8"/>
        <v/>
      </c>
      <c r="M12" s="6" t="str">
        <f t="shared" si="9"/>
        <v>.jpg</v>
      </c>
      <c r="N12" s="2" t="str">
        <f t="shared" si="10"/>
        <v>2019-03-05 18.58.06.jpg</v>
      </c>
    </row>
    <row r="13" spans="1:14" x14ac:dyDescent="0.25">
      <c r="A13" s="6" t="s">
        <v>30</v>
      </c>
      <c r="B13" s="15" t="s">
        <v>101</v>
      </c>
      <c r="C13" s="1" t="str">
        <f t="shared" si="6"/>
        <v>2019</v>
      </c>
      <c r="D13" s="1" t="str">
        <f t="shared" si="0"/>
        <v>03</v>
      </c>
      <c r="E13" s="1" t="str">
        <f t="shared" si="1"/>
        <v>05</v>
      </c>
      <c r="F13" s="1" t="str">
        <f t="shared" si="2"/>
        <v>19</v>
      </c>
      <c r="G13" s="1" t="str">
        <f t="shared" si="3"/>
        <v>09</v>
      </c>
      <c r="H13" s="1" t="str">
        <f t="shared" si="4"/>
        <v>24</v>
      </c>
      <c r="I13" s="4">
        <v>0</v>
      </c>
      <c r="J13" s="9" t="s">
        <v>9</v>
      </c>
      <c r="K13" s="3" t="str">
        <f t="shared" si="7"/>
        <v>2019-03-05 19.09.24</v>
      </c>
      <c r="L13" s="6" t="str">
        <f t="shared" si="8"/>
        <v/>
      </c>
      <c r="M13" s="6" t="str">
        <f t="shared" si="9"/>
        <v>.jpg</v>
      </c>
      <c r="N13" s="2" t="str">
        <f t="shared" si="10"/>
        <v>2019-03-05 19.09.24.jpg</v>
      </c>
    </row>
    <row r="14" spans="1:14" x14ac:dyDescent="0.25">
      <c r="A14" s="6" t="s">
        <v>31</v>
      </c>
      <c r="B14" s="15" t="s">
        <v>101</v>
      </c>
      <c r="C14" s="1" t="str">
        <f t="shared" si="6"/>
        <v>2019</v>
      </c>
      <c r="D14" s="1" t="str">
        <f t="shared" si="0"/>
        <v>03</v>
      </c>
      <c r="E14" s="1" t="str">
        <f t="shared" si="1"/>
        <v>05</v>
      </c>
      <c r="F14" s="1" t="str">
        <f t="shared" si="2"/>
        <v>19</v>
      </c>
      <c r="G14" s="1" t="str">
        <f t="shared" si="3"/>
        <v>10</v>
      </c>
      <c r="H14" s="1" t="str">
        <f t="shared" si="4"/>
        <v>28</v>
      </c>
      <c r="I14" s="4">
        <v>0</v>
      </c>
      <c r="J14" s="9" t="s">
        <v>9</v>
      </c>
      <c r="K14" s="3" t="str">
        <f t="shared" si="7"/>
        <v>2019-03-05 19.10.28</v>
      </c>
      <c r="L14" s="6" t="str">
        <f t="shared" si="8"/>
        <v/>
      </c>
      <c r="M14" s="6" t="str">
        <f t="shared" si="9"/>
        <v>.jpg</v>
      </c>
      <c r="N14" s="2" t="str">
        <f t="shared" si="10"/>
        <v>2019-03-05 19.10.28.jpg</v>
      </c>
    </row>
    <row r="15" spans="1:14" x14ac:dyDescent="0.25">
      <c r="A15" s="6" t="s">
        <v>32</v>
      </c>
      <c r="B15" s="15" t="s">
        <v>101</v>
      </c>
      <c r="C15" s="1" t="str">
        <f t="shared" si="6"/>
        <v>2019</v>
      </c>
      <c r="D15" s="1" t="str">
        <f t="shared" si="0"/>
        <v>03</v>
      </c>
      <c r="E15" s="1" t="str">
        <f t="shared" si="1"/>
        <v>05</v>
      </c>
      <c r="F15" s="1" t="str">
        <f t="shared" si="2"/>
        <v>19</v>
      </c>
      <c r="G15" s="1" t="str">
        <f t="shared" si="3"/>
        <v>24</v>
      </c>
      <c r="H15" s="1" t="str">
        <f t="shared" si="4"/>
        <v>18</v>
      </c>
      <c r="I15" s="4">
        <v>0</v>
      </c>
      <c r="J15" s="9" t="s">
        <v>9</v>
      </c>
      <c r="K15" s="3" t="str">
        <f t="shared" si="7"/>
        <v>2019-03-05 19.24.18</v>
      </c>
      <c r="L15" s="6" t="str">
        <f t="shared" si="8"/>
        <v/>
      </c>
      <c r="M15" s="6" t="str">
        <f t="shared" si="9"/>
        <v>.jpg</v>
      </c>
      <c r="N15" s="2" t="str">
        <f t="shared" si="10"/>
        <v>2019-03-05 19.24.18.jpg</v>
      </c>
    </row>
    <row r="16" spans="1:14" x14ac:dyDescent="0.25">
      <c r="A16" s="6" t="s">
        <v>33</v>
      </c>
      <c r="B16" s="15" t="s">
        <v>101</v>
      </c>
      <c r="C16" s="1" t="str">
        <f t="shared" si="6"/>
        <v>2019</v>
      </c>
      <c r="D16" s="1" t="str">
        <f t="shared" si="0"/>
        <v>03</v>
      </c>
      <c r="E16" s="1" t="str">
        <f t="shared" si="1"/>
        <v>06</v>
      </c>
      <c r="F16" s="1" t="str">
        <f t="shared" si="2"/>
        <v>06</v>
      </c>
      <c r="G16" s="1" t="str">
        <f t="shared" si="3"/>
        <v>59</v>
      </c>
      <c r="H16" s="1" t="str">
        <f t="shared" si="4"/>
        <v>05</v>
      </c>
      <c r="I16" s="4">
        <v>0</v>
      </c>
      <c r="J16" s="9" t="s">
        <v>9</v>
      </c>
      <c r="K16" s="3" t="str">
        <f t="shared" si="7"/>
        <v>2019-03-06 06.59.05</v>
      </c>
      <c r="L16" s="6" t="str">
        <f t="shared" si="8"/>
        <v xml:space="preserve"> (1)</v>
      </c>
      <c r="M16" s="6" t="str">
        <f t="shared" si="9"/>
        <v>.jpg</v>
      </c>
      <c r="N16" s="2" t="str">
        <f t="shared" si="10"/>
        <v>2019-03-06 06.59.05 (1).jpg</v>
      </c>
    </row>
    <row r="17" spans="1:14" x14ac:dyDescent="0.25">
      <c r="A17" s="6" t="s">
        <v>34</v>
      </c>
      <c r="B17" s="15" t="s">
        <v>101</v>
      </c>
      <c r="C17" s="1" t="str">
        <f t="shared" si="6"/>
        <v>2019</v>
      </c>
      <c r="D17" s="1" t="str">
        <f t="shared" si="0"/>
        <v>03</v>
      </c>
      <c r="E17" s="1" t="str">
        <f t="shared" si="1"/>
        <v>06</v>
      </c>
      <c r="F17" s="1" t="str">
        <f t="shared" si="2"/>
        <v>06</v>
      </c>
      <c r="G17" s="1" t="str">
        <f t="shared" si="3"/>
        <v>59</v>
      </c>
      <c r="H17" s="1" t="str">
        <f t="shared" si="4"/>
        <v>05</v>
      </c>
      <c r="I17" s="4">
        <v>0</v>
      </c>
      <c r="J17" s="9" t="s">
        <v>9</v>
      </c>
      <c r="K17" s="3" t="str">
        <f t="shared" si="7"/>
        <v>2019-03-06 06.59.05</v>
      </c>
      <c r="L17" s="6" t="str">
        <f t="shared" si="8"/>
        <v/>
      </c>
      <c r="M17" s="6" t="str">
        <f t="shared" si="9"/>
        <v>.jpg</v>
      </c>
      <c r="N17" s="2" t="str">
        <f t="shared" si="10"/>
        <v>2019-03-06 06.59.05.jpg</v>
      </c>
    </row>
    <row r="18" spans="1:14" x14ac:dyDescent="0.25">
      <c r="A18" s="6" t="s">
        <v>35</v>
      </c>
      <c r="B18" s="15" t="s">
        <v>101</v>
      </c>
      <c r="C18" s="1" t="str">
        <f t="shared" si="6"/>
        <v>2019</v>
      </c>
      <c r="D18" s="1" t="str">
        <f t="shared" si="0"/>
        <v>03</v>
      </c>
      <c r="E18" s="1" t="str">
        <f t="shared" si="1"/>
        <v>09</v>
      </c>
      <c r="F18" s="1" t="str">
        <f t="shared" si="2"/>
        <v>16</v>
      </c>
      <c r="G18" s="1" t="str">
        <f t="shared" si="3"/>
        <v>12</v>
      </c>
      <c r="H18" s="1" t="str">
        <f t="shared" si="4"/>
        <v>49</v>
      </c>
      <c r="I18" s="4">
        <v>0</v>
      </c>
      <c r="J18" s="9" t="s">
        <v>9</v>
      </c>
      <c r="K18" s="3" t="str">
        <f t="shared" si="7"/>
        <v>2019-03-09 16.12.49</v>
      </c>
      <c r="L18" s="6" t="str">
        <f t="shared" si="8"/>
        <v/>
      </c>
      <c r="M18" s="6" t="str">
        <f t="shared" si="9"/>
        <v>.mp4</v>
      </c>
      <c r="N18" s="2" t="str">
        <f t="shared" si="10"/>
        <v>2019-03-09 16.12.49.mp4</v>
      </c>
    </row>
    <row r="19" spans="1:14" x14ac:dyDescent="0.25">
      <c r="A19" s="6" t="s">
        <v>36</v>
      </c>
      <c r="B19" s="15" t="s">
        <v>101</v>
      </c>
      <c r="C19" s="1" t="str">
        <f t="shared" si="6"/>
        <v>2019</v>
      </c>
      <c r="D19" s="1" t="str">
        <f t="shared" si="0"/>
        <v>03</v>
      </c>
      <c r="E19" s="1" t="str">
        <f t="shared" si="1"/>
        <v>09</v>
      </c>
      <c r="F19" s="1" t="str">
        <f t="shared" si="2"/>
        <v>21</v>
      </c>
      <c r="G19" s="1" t="str">
        <f t="shared" si="3"/>
        <v>40</v>
      </c>
      <c r="H19" s="1" t="str">
        <f t="shared" si="4"/>
        <v>01</v>
      </c>
      <c r="I19" s="4">
        <v>0</v>
      </c>
      <c r="J19" s="9" t="s">
        <v>9</v>
      </c>
      <c r="K19" s="3" t="str">
        <f t="shared" si="7"/>
        <v>2019-03-09 21.40.01</v>
      </c>
      <c r="L19" s="6" t="str">
        <f t="shared" si="8"/>
        <v/>
      </c>
      <c r="M19" s="6" t="str">
        <f t="shared" si="9"/>
        <v>.jpg</v>
      </c>
      <c r="N19" s="2" t="str">
        <f t="shared" si="10"/>
        <v>2019-03-09 21.40.01.jpg</v>
      </c>
    </row>
    <row r="20" spans="1:14" x14ac:dyDescent="0.25">
      <c r="A20" s="6" t="s">
        <v>37</v>
      </c>
      <c r="B20" s="15" t="s">
        <v>101</v>
      </c>
      <c r="C20" s="1" t="str">
        <f t="shared" si="6"/>
        <v>2019</v>
      </c>
      <c r="D20" s="1" t="str">
        <f t="shared" si="0"/>
        <v>03</v>
      </c>
      <c r="E20" s="1" t="str">
        <f t="shared" si="1"/>
        <v>09</v>
      </c>
      <c r="F20" s="1" t="str">
        <f t="shared" si="2"/>
        <v>21</v>
      </c>
      <c r="G20" s="1" t="str">
        <f t="shared" si="3"/>
        <v>44</v>
      </c>
      <c r="H20" s="1" t="str">
        <f t="shared" si="4"/>
        <v>09</v>
      </c>
      <c r="I20" s="4">
        <v>0</v>
      </c>
      <c r="J20" s="9" t="s">
        <v>9</v>
      </c>
      <c r="K20" s="3" t="str">
        <f t="shared" si="7"/>
        <v>2019-03-09 21.44.09</v>
      </c>
      <c r="L20" s="6" t="str">
        <f t="shared" si="8"/>
        <v/>
      </c>
      <c r="M20" s="6" t="str">
        <f t="shared" si="9"/>
        <v>.jpg</v>
      </c>
      <c r="N20" s="2" t="str">
        <f t="shared" si="10"/>
        <v>2019-03-09 21.44.09.jpg</v>
      </c>
    </row>
    <row r="21" spans="1:14" x14ac:dyDescent="0.25">
      <c r="A21" s="6" t="s">
        <v>38</v>
      </c>
      <c r="B21" s="15" t="s">
        <v>101</v>
      </c>
      <c r="C21" s="1" t="str">
        <f t="shared" si="6"/>
        <v>2019</v>
      </c>
      <c r="D21" s="1" t="str">
        <f t="shared" si="0"/>
        <v>03</v>
      </c>
      <c r="E21" s="1" t="str">
        <f t="shared" si="1"/>
        <v>09</v>
      </c>
      <c r="F21" s="1" t="str">
        <f t="shared" si="2"/>
        <v>21</v>
      </c>
      <c r="G21" s="1" t="str">
        <f t="shared" si="3"/>
        <v>44</v>
      </c>
      <c r="H21" s="1" t="str">
        <f t="shared" si="4"/>
        <v>36</v>
      </c>
      <c r="I21" s="4">
        <v>0</v>
      </c>
      <c r="J21" s="9" t="s">
        <v>9</v>
      </c>
      <c r="K21" s="3" t="str">
        <f t="shared" si="7"/>
        <v>2019-03-09 21.44.36</v>
      </c>
      <c r="L21" s="6" t="str">
        <f t="shared" si="8"/>
        <v/>
      </c>
      <c r="M21" s="6" t="str">
        <f t="shared" si="9"/>
        <v>.jpg</v>
      </c>
      <c r="N21" s="2" t="str">
        <f t="shared" si="10"/>
        <v>2019-03-09 21.44.36.jpg</v>
      </c>
    </row>
    <row r="22" spans="1:14" x14ac:dyDescent="0.25">
      <c r="A22" s="6" t="s">
        <v>39</v>
      </c>
      <c r="B22" s="15" t="s">
        <v>101</v>
      </c>
      <c r="C22" s="1" t="str">
        <f t="shared" si="6"/>
        <v>2019</v>
      </c>
      <c r="D22" s="1" t="str">
        <f t="shared" si="0"/>
        <v>03</v>
      </c>
      <c r="E22" s="1" t="str">
        <f t="shared" si="1"/>
        <v>09</v>
      </c>
      <c r="F22" s="1" t="str">
        <f t="shared" si="2"/>
        <v>21</v>
      </c>
      <c r="G22" s="1" t="str">
        <f t="shared" si="3"/>
        <v>45</v>
      </c>
      <c r="H22" s="1" t="str">
        <f t="shared" si="4"/>
        <v>28</v>
      </c>
      <c r="I22" s="4">
        <v>0</v>
      </c>
      <c r="J22" s="9" t="s">
        <v>9</v>
      </c>
      <c r="K22" s="3" t="str">
        <f t="shared" si="7"/>
        <v>2019-03-09 21.45.28</v>
      </c>
      <c r="L22" s="6" t="str">
        <f t="shared" si="8"/>
        <v/>
      </c>
      <c r="M22" s="6" t="str">
        <f t="shared" si="9"/>
        <v>.jpg</v>
      </c>
      <c r="N22" s="2" t="str">
        <f t="shared" si="10"/>
        <v>2019-03-09 21.45.28.jpg</v>
      </c>
    </row>
    <row r="23" spans="1:14" x14ac:dyDescent="0.25">
      <c r="A23" s="6" t="s">
        <v>40</v>
      </c>
      <c r="B23" s="15" t="s">
        <v>101</v>
      </c>
      <c r="C23" s="1" t="str">
        <f t="shared" si="6"/>
        <v>2019</v>
      </c>
      <c r="D23" s="1" t="str">
        <f t="shared" si="0"/>
        <v>03</v>
      </c>
      <c r="E23" s="1" t="str">
        <f t="shared" si="1"/>
        <v>09</v>
      </c>
      <c r="F23" s="1" t="str">
        <f t="shared" si="2"/>
        <v>21</v>
      </c>
      <c r="G23" s="1" t="str">
        <f t="shared" si="3"/>
        <v>45</v>
      </c>
      <c r="H23" s="1" t="str">
        <f t="shared" si="4"/>
        <v>51</v>
      </c>
      <c r="I23" s="4">
        <v>0</v>
      </c>
      <c r="J23" s="9" t="s">
        <v>9</v>
      </c>
      <c r="K23" s="3" t="str">
        <f t="shared" si="7"/>
        <v>2019-03-09 21.45.51</v>
      </c>
      <c r="L23" s="6" t="str">
        <f t="shared" si="8"/>
        <v/>
      </c>
      <c r="M23" s="6" t="str">
        <f t="shared" si="9"/>
        <v>.jpg</v>
      </c>
      <c r="N23" s="2" t="str">
        <f t="shared" si="10"/>
        <v>2019-03-09 21.45.51.jpg</v>
      </c>
    </row>
    <row r="24" spans="1:14" x14ac:dyDescent="0.25">
      <c r="A24" s="6" t="s">
        <v>41</v>
      </c>
      <c r="B24" s="15" t="s">
        <v>101</v>
      </c>
      <c r="C24" s="1" t="str">
        <f t="shared" si="6"/>
        <v>2019</v>
      </c>
      <c r="D24" s="1" t="str">
        <f t="shared" si="0"/>
        <v>03</v>
      </c>
      <c r="E24" s="1" t="str">
        <f t="shared" si="1"/>
        <v>09</v>
      </c>
      <c r="F24" s="1" t="str">
        <f t="shared" si="2"/>
        <v>21</v>
      </c>
      <c r="G24" s="1" t="str">
        <f t="shared" si="3"/>
        <v>46</v>
      </c>
      <c r="H24" s="1" t="str">
        <f t="shared" si="4"/>
        <v>36</v>
      </c>
      <c r="I24" s="4">
        <v>0</v>
      </c>
      <c r="J24" s="9" t="s">
        <v>9</v>
      </c>
      <c r="K24" s="3" t="str">
        <f t="shared" si="7"/>
        <v>2019-03-09 21.46.36</v>
      </c>
      <c r="L24" s="6" t="str">
        <f t="shared" si="8"/>
        <v/>
      </c>
      <c r="M24" s="6" t="str">
        <f t="shared" si="9"/>
        <v>.jpg</v>
      </c>
      <c r="N24" s="2" t="str">
        <f t="shared" si="10"/>
        <v>2019-03-09 21.46.36.jpg</v>
      </c>
    </row>
    <row r="25" spans="1:14" x14ac:dyDescent="0.25">
      <c r="A25" s="6" t="s">
        <v>42</v>
      </c>
      <c r="B25" s="15" t="s">
        <v>101</v>
      </c>
      <c r="C25" s="1" t="str">
        <f t="shared" si="6"/>
        <v>2019</v>
      </c>
      <c r="D25" s="1" t="str">
        <f t="shared" si="0"/>
        <v>03</v>
      </c>
      <c r="E25" s="1" t="str">
        <f t="shared" si="1"/>
        <v>09</v>
      </c>
      <c r="F25" s="1" t="str">
        <f t="shared" si="2"/>
        <v>21</v>
      </c>
      <c r="G25" s="1" t="str">
        <f t="shared" si="3"/>
        <v>49</v>
      </c>
      <c r="H25" s="1" t="str">
        <f t="shared" si="4"/>
        <v>46</v>
      </c>
      <c r="I25" s="4">
        <v>0</v>
      </c>
      <c r="J25" s="9" t="s">
        <v>9</v>
      </c>
      <c r="K25" s="3" t="str">
        <f t="shared" si="7"/>
        <v>2019-03-09 21.49.46</v>
      </c>
      <c r="L25" s="6" t="str">
        <f t="shared" si="8"/>
        <v/>
      </c>
      <c r="M25" s="6" t="str">
        <f t="shared" si="9"/>
        <v>.mp4</v>
      </c>
      <c r="N25" s="2" t="str">
        <f t="shared" si="10"/>
        <v>2019-03-09 21.49.46.mp4</v>
      </c>
    </row>
    <row r="26" spans="1:14" x14ac:dyDescent="0.25">
      <c r="A26" s="6" t="s">
        <v>43</v>
      </c>
      <c r="B26" s="15" t="s">
        <v>101</v>
      </c>
      <c r="C26" s="1" t="str">
        <f t="shared" si="6"/>
        <v>2019</v>
      </c>
      <c r="D26" s="1" t="str">
        <f t="shared" si="0"/>
        <v>03</v>
      </c>
      <c r="E26" s="1" t="str">
        <f t="shared" si="1"/>
        <v>10</v>
      </c>
      <c r="F26" s="1" t="str">
        <f t="shared" si="2"/>
        <v>15</v>
      </c>
      <c r="G26" s="1" t="str">
        <f t="shared" si="3"/>
        <v>26</v>
      </c>
      <c r="H26" s="1" t="str">
        <f t="shared" si="4"/>
        <v>01</v>
      </c>
      <c r="I26" s="4">
        <v>0</v>
      </c>
      <c r="J26" s="9" t="s">
        <v>9</v>
      </c>
      <c r="K26" s="3" t="str">
        <f t="shared" si="7"/>
        <v>2019-03-10 15.26.01</v>
      </c>
      <c r="L26" s="6" t="str">
        <f t="shared" si="8"/>
        <v/>
      </c>
      <c r="M26" s="6" t="str">
        <f t="shared" si="9"/>
        <v>.jpg</v>
      </c>
      <c r="N26" s="2" t="str">
        <f t="shared" si="10"/>
        <v>2019-03-10 15.26.01.jpg</v>
      </c>
    </row>
    <row r="27" spans="1:14" x14ac:dyDescent="0.25">
      <c r="A27" s="6" t="s">
        <v>44</v>
      </c>
      <c r="B27" s="15" t="s">
        <v>101</v>
      </c>
      <c r="C27" s="1" t="str">
        <f t="shared" si="6"/>
        <v>2019</v>
      </c>
      <c r="D27" s="1" t="str">
        <f t="shared" si="0"/>
        <v>03</v>
      </c>
      <c r="E27" s="1" t="str">
        <f t="shared" si="1"/>
        <v>16</v>
      </c>
      <c r="F27" s="1" t="str">
        <f t="shared" si="2"/>
        <v>14</v>
      </c>
      <c r="G27" s="1" t="str">
        <f t="shared" si="3"/>
        <v>16</v>
      </c>
      <c r="H27" s="1" t="str">
        <f t="shared" si="4"/>
        <v>40</v>
      </c>
      <c r="I27" s="4">
        <v>0</v>
      </c>
      <c r="J27" s="9" t="s">
        <v>9</v>
      </c>
      <c r="K27" s="3" t="str">
        <f t="shared" si="7"/>
        <v>2019-03-16 14.16.40</v>
      </c>
      <c r="L27" s="6" t="str">
        <f t="shared" si="8"/>
        <v/>
      </c>
      <c r="M27" s="6" t="str">
        <f t="shared" si="9"/>
        <v>.jpg</v>
      </c>
      <c r="N27" s="2" t="str">
        <f t="shared" si="10"/>
        <v>2019-03-16 14.16.40.jpg</v>
      </c>
    </row>
    <row r="28" spans="1:14" x14ac:dyDescent="0.25">
      <c r="A28" s="6" t="s">
        <v>45</v>
      </c>
      <c r="B28" s="15" t="s">
        <v>101</v>
      </c>
      <c r="C28" s="1" t="str">
        <f t="shared" si="6"/>
        <v>2019</v>
      </c>
      <c r="D28" s="1" t="str">
        <f t="shared" si="0"/>
        <v>03</v>
      </c>
      <c r="E28" s="1" t="str">
        <f t="shared" si="1"/>
        <v>16</v>
      </c>
      <c r="F28" s="1" t="str">
        <f t="shared" si="2"/>
        <v>16</v>
      </c>
      <c r="G28" s="1" t="str">
        <f t="shared" si="3"/>
        <v>11</v>
      </c>
      <c r="H28" s="1" t="str">
        <f t="shared" si="4"/>
        <v>59</v>
      </c>
      <c r="I28" s="4">
        <v>0</v>
      </c>
      <c r="J28" s="9" t="s">
        <v>9</v>
      </c>
      <c r="K28" s="3" t="str">
        <f t="shared" si="7"/>
        <v>2019-03-16 16.11.59</v>
      </c>
      <c r="L28" s="6" t="str">
        <f t="shared" si="8"/>
        <v/>
      </c>
      <c r="M28" s="6" t="str">
        <f t="shared" si="9"/>
        <v>.mp4</v>
      </c>
      <c r="N28" s="2" t="str">
        <f t="shared" si="10"/>
        <v>2019-03-16 16.11.59.mp4</v>
      </c>
    </row>
    <row r="29" spans="1:14" x14ac:dyDescent="0.25">
      <c r="A29" s="6" t="s">
        <v>46</v>
      </c>
      <c r="B29" s="15" t="s">
        <v>101</v>
      </c>
      <c r="C29" s="1" t="str">
        <f t="shared" si="6"/>
        <v>2019</v>
      </c>
      <c r="D29" s="1" t="str">
        <f t="shared" si="0"/>
        <v>03</v>
      </c>
      <c r="E29" s="1" t="str">
        <f t="shared" si="1"/>
        <v>16</v>
      </c>
      <c r="F29" s="1" t="str">
        <f t="shared" si="2"/>
        <v>22</v>
      </c>
      <c r="G29" s="1" t="str">
        <f t="shared" si="3"/>
        <v>03</v>
      </c>
      <c r="H29" s="1" t="str">
        <f t="shared" si="4"/>
        <v>07</v>
      </c>
      <c r="I29" s="4">
        <v>0</v>
      </c>
      <c r="J29" s="9" t="s">
        <v>9</v>
      </c>
      <c r="K29" s="3" t="str">
        <f t="shared" si="7"/>
        <v>2019-03-16 22.03.07</v>
      </c>
      <c r="L29" s="6" t="str">
        <f t="shared" si="8"/>
        <v/>
      </c>
      <c r="M29" s="6" t="str">
        <f t="shared" si="9"/>
        <v>.mp4</v>
      </c>
      <c r="N29" s="2" t="str">
        <f t="shared" si="10"/>
        <v>2019-03-16 22.03.07.mp4</v>
      </c>
    </row>
    <row r="30" spans="1:14" x14ac:dyDescent="0.25">
      <c r="A30" s="6" t="s">
        <v>47</v>
      </c>
      <c r="B30" s="15" t="s">
        <v>101</v>
      </c>
      <c r="C30" s="1" t="str">
        <f t="shared" si="6"/>
        <v>2019</v>
      </c>
      <c r="D30" s="1" t="str">
        <f t="shared" si="0"/>
        <v>03</v>
      </c>
      <c r="E30" s="1" t="str">
        <f t="shared" si="1"/>
        <v>16</v>
      </c>
      <c r="F30" s="1" t="str">
        <f t="shared" si="2"/>
        <v>23</v>
      </c>
      <c r="G30" s="1" t="str">
        <f t="shared" si="3"/>
        <v>20</v>
      </c>
      <c r="H30" s="1" t="str">
        <f t="shared" si="4"/>
        <v>44</v>
      </c>
      <c r="I30" s="4">
        <v>0</v>
      </c>
      <c r="J30" s="9" t="s">
        <v>9</v>
      </c>
      <c r="K30" s="3" t="str">
        <f t="shared" si="7"/>
        <v>2019-03-16 23.20.44</v>
      </c>
      <c r="L30" s="6" t="str">
        <f t="shared" si="8"/>
        <v/>
      </c>
      <c r="M30" s="6" t="str">
        <f t="shared" si="9"/>
        <v>.mp4</v>
      </c>
      <c r="N30" s="2" t="str">
        <f t="shared" si="10"/>
        <v>2019-03-16 23.20.44.mp4</v>
      </c>
    </row>
    <row r="31" spans="1:14" x14ac:dyDescent="0.25">
      <c r="A31" s="6" t="s">
        <v>48</v>
      </c>
      <c r="B31" s="15" t="s">
        <v>101</v>
      </c>
      <c r="C31" s="1" t="str">
        <f t="shared" si="6"/>
        <v>2019</v>
      </c>
      <c r="D31" s="1" t="str">
        <f t="shared" si="0"/>
        <v>03</v>
      </c>
      <c r="E31" s="1" t="str">
        <f t="shared" si="1"/>
        <v>16</v>
      </c>
      <c r="F31" s="1" t="str">
        <f t="shared" si="2"/>
        <v>23</v>
      </c>
      <c r="G31" s="1" t="str">
        <f t="shared" si="3"/>
        <v>32</v>
      </c>
      <c r="H31" s="1" t="str">
        <f t="shared" si="4"/>
        <v>04</v>
      </c>
      <c r="I31" s="4">
        <v>0</v>
      </c>
      <c r="J31" s="9" t="s">
        <v>9</v>
      </c>
      <c r="K31" s="3" t="str">
        <f t="shared" si="7"/>
        <v>2019-03-16 23.32.04</v>
      </c>
      <c r="L31" s="6" t="str">
        <f t="shared" si="8"/>
        <v/>
      </c>
      <c r="M31" s="6" t="str">
        <f t="shared" si="9"/>
        <v>.jpg</v>
      </c>
      <c r="N31" s="2" t="str">
        <f t="shared" si="10"/>
        <v>2019-03-16 23.32.04.jpg</v>
      </c>
    </row>
    <row r="32" spans="1:14" x14ac:dyDescent="0.25">
      <c r="A32" s="6" t="s">
        <v>49</v>
      </c>
      <c r="B32" s="15" t="s">
        <v>101</v>
      </c>
      <c r="C32" s="1" t="str">
        <f t="shared" si="6"/>
        <v>2019</v>
      </c>
      <c r="D32" s="1" t="str">
        <f t="shared" si="0"/>
        <v>03</v>
      </c>
      <c r="E32" s="1" t="str">
        <f t="shared" si="1"/>
        <v>17</v>
      </c>
      <c r="F32" s="1" t="str">
        <f t="shared" si="2"/>
        <v>14</v>
      </c>
      <c r="G32" s="1" t="str">
        <f t="shared" si="3"/>
        <v>35</v>
      </c>
      <c r="H32" s="1" t="str">
        <f t="shared" si="4"/>
        <v>39</v>
      </c>
      <c r="I32" s="4">
        <v>0</v>
      </c>
      <c r="J32" s="9" t="s">
        <v>9</v>
      </c>
      <c r="K32" s="3" t="str">
        <f t="shared" si="7"/>
        <v>2019-03-17 14.35.39</v>
      </c>
      <c r="L32" s="6" t="str">
        <f t="shared" si="8"/>
        <v/>
      </c>
      <c r="M32" s="6" t="str">
        <f t="shared" si="9"/>
        <v>.jpg</v>
      </c>
      <c r="N32" s="2" t="str">
        <f t="shared" si="10"/>
        <v>2019-03-17 14.35.39.jpg</v>
      </c>
    </row>
    <row r="33" spans="1:14" x14ac:dyDescent="0.25">
      <c r="A33" s="6" t="s">
        <v>50</v>
      </c>
      <c r="B33" s="15" t="s">
        <v>101</v>
      </c>
      <c r="C33" s="1" t="str">
        <f t="shared" si="6"/>
        <v>2019</v>
      </c>
      <c r="D33" s="1" t="str">
        <f t="shared" si="0"/>
        <v>03</v>
      </c>
      <c r="E33" s="1" t="str">
        <f t="shared" si="1"/>
        <v>19</v>
      </c>
      <c r="F33" s="1" t="str">
        <f t="shared" si="2"/>
        <v>13</v>
      </c>
      <c r="G33" s="1" t="str">
        <f t="shared" si="3"/>
        <v>22</v>
      </c>
      <c r="H33" s="1" t="str">
        <f t="shared" si="4"/>
        <v>59</v>
      </c>
      <c r="I33" s="4">
        <v>0</v>
      </c>
      <c r="J33" s="9" t="s">
        <v>9</v>
      </c>
      <c r="K33" s="3" t="str">
        <f t="shared" si="7"/>
        <v>2019-03-19 13.22.59</v>
      </c>
      <c r="L33" s="6" t="str">
        <f t="shared" si="8"/>
        <v/>
      </c>
      <c r="M33" s="6" t="str">
        <f t="shared" si="9"/>
        <v>.jpg</v>
      </c>
      <c r="N33" s="2" t="str">
        <f t="shared" si="10"/>
        <v>2019-03-19 13.22.59.jpg</v>
      </c>
    </row>
    <row r="34" spans="1:14" x14ac:dyDescent="0.25">
      <c r="A34" s="6" t="s">
        <v>51</v>
      </c>
      <c r="B34" s="15" t="s">
        <v>101</v>
      </c>
      <c r="C34" s="1" t="str">
        <f t="shared" si="6"/>
        <v>2019</v>
      </c>
      <c r="D34" s="1" t="str">
        <f t="shared" si="0"/>
        <v>03</v>
      </c>
      <c r="E34" s="1" t="str">
        <f t="shared" si="1"/>
        <v>20</v>
      </c>
      <c r="F34" s="1" t="str">
        <f t="shared" si="2"/>
        <v>16</v>
      </c>
      <c r="G34" s="1" t="str">
        <f t="shared" si="3"/>
        <v>23</v>
      </c>
      <c r="H34" s="1" t="str">
        <f t="shared" si="4"/>
        <v>02</v>
      </c>
      <c r="I34" s="4">
        <v>0</v>
      </c>
      <c r="J34" s="9" t="s">
        <v>9</v>
      </c>
      <c r="K34" s="3" t="str">
        <f t="shared" si="7"/>
        <v>2019-03-20 16.23.02</v>
      </c>
      <c r="L34" s="6" t="str">
        <f t="shared" si="8"/>
        <v/>
      </c>
      <c r="M34" s="6" t="str">
        <f t="shared" si="9"/>
        <v>.mp4</v>
      </c>
      <c r="N34" s="2" t="str">
        <f t="shared" si="10"/>
        <v>2019-03-20 16.23.02.mp4</v>
      </c>
    </row>
    <row r="35" spans="1:14" x14ac:dyDescent="0.25">
      <c r="A35" s="6" t="s">
        <v>52</v>
      </c>
      <c r="B35" s="15" t="s">
        <v>101</v>
      </c>
      <c r="C35" s="1" t="str">
        <f t="shared" si="6"/>
        <v>2019</v>
      </c>
      <c r="D35" s="1" t="str">
        <f t="shared" si="0"/>
        <v>03</v>
      </c>
      <c r="E35" s="1" t="str">
        <f t="shared" si="1"/>
        <v>21</v>
      </c>
      <c r="F35" s="1" t="str">
        <f t="shared" si="2"/>
        <v>07</v>
      </c>
      <c r="G35" s="1" t="str">
        <f t="shared" si="3"/>
        <v>04</v>
      </c>
      <c r="H35" s="1" t="str">
        <f t="shared" si="4"/>
        <v>26</v>
      </c>
      <c r="I35" s="4">
        <v>0</v>
      </c>
      <c r="J35" s="9" t="s">
        <v>9</v>
      </c>
      <c r="K35" s="3" t="str">
        <f t="shared" si="7"/>
        <v>2019-03-21 07.04.26</v>
      </c>
      <c r="L35" s="6" t="str">
        <f t="shared" si="8"/>
        <v xml:space="preserve"> (2)</v>
      </c>
      <c r="M35" s="6" t="str">
        <f t="shared" si="9"/>
        <v>.jpg</v>
      </c>
      <c r="N35" s="2" t="str">
        <f t="shared" si="10"/>
        <v>2019-03-21 07.04.26 (2).jpg</v>
      </c>
    </row>
    <row r="36" spans="1:14" x14ac:dyDescent="0.25">
      <c r="A36" s="6" t="s">
        <v>53</v>
      </c>
      <c r="B36" s="15" t="s">
        <v>101</v>
      </c>
      <c r="C36" s="1" t="str">
        <f t="shared" si="6"/>
        <v>2019</v>
      </c>
      <c r="D36" s="1" t="str">
        <f t="shared" si="0"/>
        <v>03</v>
      </c>
      <c r="E36" s="1" t="str">
        <f t="shared" si="1"/>
        <v>21</v>
      </c>
      <c r="F36" s="1" t="str">
        <f t="shared" si="2"/>
        <v>07</v>
      </c>
      <c r="G36" s="1" t="str">
        <f t="shared" si="3"/>
        <v>04</v>
      </c>
      <c r="H36" s="1" t="str">
        <f t="shared" si="4"/>
        <v>26</v>
      </c>
      <c r="I36" s="4">
        <v>0</v>
      </c>
      <c r="J36" s="9" t="s">
        <v>9</v>
      </c>
      <c r="K36" s="3" t="str">
        <f t="shared" si="7"/>
        <v>2019-03-21 07.04.26</v>
      </c>
      <c r="L36" s="6" t="str">
        <f t="shared" si="8"/>
        <v/>
      </c>
      <c r="M36" s="6" t="str">
        <f t="shared" si="9"/>
        <v>.jpg</v>
      </c>
      <c r="N36" s="2" t="str">
        <f t="shared" si="10"/>
        <v>2019-03-21 07.04.26.jpg</v>
      </c>
    </row>
    <row r="37" spans="1:14" x14ac:dyDescent="0.25">
      <c r="A37" s="6" t="s">
        <v>54</v>
      </c>
      <c r="B37" s="15" t="s">
        <v>101</v>
      </c>
      <c r="C37" s="1" t="str">
        <f t="shared" si="6"/>
        <v>2019</v>
      </c>
      <c r="D37" s="1" t="str">
        <f t="shared" si="0"/>
        <v>03</v>
      </c>
      <c r="E37" s="1" t="str">
        <f t="shared" si="1"/>
        <v>21</v>
      </c>
      <c r="F37" s="1" t="str">
        <f t="shared" si="2"/>
        <v>12</v>
      </c>
      <c r="G37" s="1" t="str">
        <f t="shared" si="3"/>
        <v>42</v>
      </c>
      <c r="H37" s="1" t="str">
        <f t="shared" si="4"/>
        <v>46</v>
      </c>
      <c r="I37" s="4">
        <v>0</v>
      </c>
      <c r="J37" s="9" t="s">
        <v>9</v>
      </c>
      <c r="K37" s="3" t="str">
        <f t="shared" si="7"/>
        <v>2019-03-21 12.42.46</v>
      </c>
      <c r="L37" s="6" t="str">
        <f t="shared" si="8"/>
        <v/>
      </c>
      <c r="M37" s="6" t="str">
        <f t="shared" si="9"/>
        <v>.jpg</v>
      </c>
      <c r="N37" s="2" t="str">
        <f t="shared" si="10"/>
        <v>2019-03-21 12.42.46.jpg</v>
      </c>
    </row>
    <row r="38" spans="1:14" x14ac:dyDescent="0.25">
      <c r="A38" s="6" t="s">
        <v>55</v>
      </c>
      <c r="B38" s="15" t="s">
        <v>101</v>
      </c>
      <c r="C38" s="1" t="str">
        <f t="shared" si="6"/>
        <v>2019</v>
      </c>
      <c r="D38" s="1" t="str">
        <f t="shared" si="0"/>
        <v>03</v>
      </c>
      <c r="E38" s="1" t="str">
        <f t="shared" si="1"/>
        <v>22</v>
      </c>
      <c r="F38" s="1" t="str">
        <f t="shared" si="2"/>
        <v>20</v>
      </c>
      <c r="G38" s="1" t="str">
        <f t="shared" si="3"/>
        <v>25</v>
      </c>
      <c r="H38" s="1" t="str">
        <f t="shared" si="4"/>
        <v>09</v>
      </c>
      <c r="I38" s="4">
        <v>0</v>
      </c>
      <c r="J38" s="9" t="s">
        <v>9</v>
      </c>
      <c r="K38" s="3" t="str">
        <f t="shared" si="7"/>
        <v>2019-03-22 20.25.09</v>
      </c>
      <c r="L38" s="6" t="str">
        <f t="shared" si="8"/>
        <v/>
      </c>
      <c r="M38" s="6" t="str">
        <f t="shared" si="9"/>
        <v>.jpg</v>
      </c>
      <c r="N38" s="2" t="str">
        <f t="shared" si="10"/>
        <v>2019-03-22 20.25.09.jpg</v>
      </c>
    </row>
    <row r="39" spans="1:14" x14ac:dyDescent="0.25">
      <c r="A39" s="6" t="s">
        <v>56</v>
      </c>
      <c r="B39" s="15" t="s">
        <v>101</v>
      </c>
      <c r="C39" s="1" t="str">
        <f t="shared" si="6"/>
        <v>2019</v>
      </c>
      <c r="D39" s="1" t="str">
        <f t="shared" si="0"/>
        <v>03</v>
      </c>
      <c r="E39" s="1" t="str">
        <f t="shared" si="1"/>
        <v>23</v>
      </c>
      <c r="F39" s="1" t="str">
        <f t="shared" si="2"/>
        <v>00</v>
      </c>
      <c r="G39" s="1" t="str">
        <f t="shared" si="3"/>
        <v>13</v>
      </c>
      <c r="H39" s="1" t="str">
        <f t="shared" si="4"/>
        <v>45</v>
      </c>
      <c r="I39" s="4">
        <v>0</v>
      </c>
      <c r="J39" s="9" t="s">
        <v>9</v>
      </c>
      <c r="K39" s="3" t="str">
        <f t="shared" si="7"/>
        <v>2019-03-23 00.13.45</v>
      </c>
      <c r="L39" s="6" t="str">
        <f t="shared" si="8"/>
        <v/>
      </c>
      <c r="M39" s="6" t="str">
        <f t="shared" si="9"/>
        <v>.jpg</v>
      </c>
      <c r="N39" s="2" t="str">
        <f t="shared" si="10"/>
        <v>2019-03-23 00.13.45.jpg</v>
      </c>
    </row>
    <row r="40" spans="1:14" x14ac:dyDescent="0.25">
      <c r="A40" s="6" t="s">
        <v>57</v>
      </c>
      <c r="B40" s="15" t="s">
        <v>101</v>
      </c>
      <c r="C40" s="1" t="str">
        <f t="shared" si="6"/>
        <v>2019</v>
      </c>
      <c r="D40" s="1" t="str">
        <f t="shared" si="0"/>
        <v>03</v>
      </c>
      <c r="E40" s="1" t="str">
        <f t="shared" si="1"/>
        <v>23</v>
      </c>
      <c r="F40" s="1" t="str">
        <f t="shared" si="2"/>
        <v>11</v>
      </c>
      <c r="G40" s="1" t="str">
        <f t="shared" si="3"/>
        <v>07</v>
      </c>
      <c r="H40" s="1" t="str">
        <f t="shared" si="4"/>
        <v>06</v>
      </c>
      <c r="I40" s="4">
        <v>0</v>
      </c>
      <c r="J40" s="9" t="s">
        <v>9</v>
      </c>
      <c r="K40" s="3" t="str">
        <f t="shared" si="7"/>
        <v>2019-03-23 11.07.06</v>
      </c>
      <c r="L40" s="6" t="str">
        <f t="shared" si="8"/>
        <v/>
      </c>
      <c r="M40" s="6" t="str">
        <f t="shared" si="9"/>
        <v>.jpg</v>
      </c>
      <c r="N40" s="2" t="str">
        <f t="shared" si="10"/>
        <v>2019-03-23 11.07.06.jpg</v>
      </c>
    </row>
    <row r="41" spans="1:14" x14ac:dyDescent="0.25">
      <c r="A41" s="6" t="s">
        <v>58</v>
      </c>
      <c r="B41" s="15" t="s">
        <v>101</v>
      </c>
      <c r="C41" s="1" t="str">
        <f t="shared" si="6"/>
        <v>2019</v>
      </c>
      <c r="D41" s="1" t="str">
        <f t="shared" si="0"/>
        <v>03</v>
      </c>
      <c r="E41" s="1" t="str">
        <f t="shared" si="1"/>
        <v>23</v>
      </c>
      <c r="F41" s="1" t="str">
        <f t="shared" si="2"/>
        <v>11</v>
      </c>
      <c r="G41" s="1" t="str">
        <f t="shared" si="3"/>
        <v>39</v>
      </c>
      <c r="H41" s="1" t="str">
        <f t="shared" si="4"/>
        <v>43</v>
      </c>
      <c r="I41" s="4">
        <v>0</v>
      </c>
      <c r="J41" s="9" t="s">
        <v>9</v>
      </c>
      <c r="K41" s="3" t="str">
        <f t="shared" si="7"/>
        <v>2019-03-23 11.39.43</v>
      </c>
      <c r="L41" s="6" t="str">
        <f t="shared" si="8"/>
        <v/>
      </c>
      <c r="M41" s="6" t="str">
        <f t="shared" si="9"/>
        <v>.mp4</v>
      </c>
      <c r="N41" s="2" t="str">
        <f t="shared" si="10"/>
        <v>2019-03-23 11.39.43.mp4</v>
      </c>
    </row>
    <row r="42" spans="1:14" x14ac:dyDescent="0.25">
      <c r="A42" s="6" t="s">
        <v>59</v>
      </c>
      <c r="B42" s="15" t="s">
        <v>101</v>
      </c>
      <c r="C42" s="1" t="str">
        <f t="shared" si="6"/>
        <v>2019</v>
      </c>
      <c r="D42" s="1" t="str">
        <f t="shared" si="0"/>
        <v>03</v>
      </c>
      <c r="E42" s="1" t="str">
        <f t="shared" si="1"/>
        <v>23</v>
      </c>
      <c r="F42" s="1" t="str">
        <f t="shared" si="2"/>
        <v>13</v>
      </c>
      <c r="G42" s="1" t="str">
        <f t="shared" si="3"/>
        <v>05</v>
      </c>
      <c r="H42" s="1" t="str">
        <f t="shared" si="4"/>
        <v>49</v>
      </c>
      <c r="I42" s="4">
        <v>0</v>
      </c>
      <c r="J42" s="9" t="s">
        <v>9</v>
      </c>
      <c r="K42" s="3" t="str">
        <f t="shared" si="7"/>
        <v>2019-03-23 13.05.49</v>
      </c>
      <c r="L42" s="6" t="str">
        <f t="shared" si="8"/>
        <v/>
      </c>
      <c r="M42" s="6" t="str">
        <f t="shared" si="9"/>
        <v>.jpg</v>
      </c>
      <c r="N42" s="2" t="str">
        <f t="shared" si="10"/>
        <v>2019-03-23 13.05.49.jpg</v>
      </c>
    </row>
    <row r="43" spans="1:14" x14ac:dyDescent="0.25">
      <c r="A43" s="6" t="s">
        <v>60</v>
      </c>
      <c r="B43" s="15" t="s">
        <v>101</v>
      </c>
      <c r="C43" s="1" t="str">
        <f t="shared" si="6"/>
        <v>2019</v>
      </c>
      <c r="D43" s="1" t="str">
        <f t="shared" si="0"/>
        <v>03</v>
      </c>
      <c r="E43" s="1" t="str">
        <f t="shared" si="1"/>
        <v>23</v>
      </c>
      <c r="F43" s="1" t="str">
        <f t="shared" si="2"/>
        <v>16</v>
      </c>
      <c r="G43" s="1" t="str">
        <f t="shared" si="3"/>
        <v>29</v>
      </c>
      <c r="H43" s="1" t="str">
        <f t="shared" si="4"/>
        <v>25</v>
      </c>
      <c r="I43" s="4">
        <v>0</v>
      </c>
      <c r="J43" s="9" t="s">
        <v>9</v>
      </c>
      <c r="K43" s="3" t="str">
        <f t="shared" si="7"/>
        <v>2019-03-23 16.29.25</v>
      </c>
      <c r="L43" s="6" t="str">
        <f t="shared" si="8"/>
        <v/>
      </c>
      <c r="M43" s="6" t="str">
        <f t="shared" si="9"/>
        <v>.jpg</v>
      </c>
      <c r="N43" s="2" t="str">
        <f t="shared" si="10"/>
        <v>2019-03-23 16.29.25.jpg</v>
      </c>
    </row>
    <row r="44" spans="1:14" x14ac:dyDescent="0.25">
      <c r="A44" s="6" t="s">
        <v>61</v>
      </c>
      <c r="B44" s="15" t="s">
        <v>101</v>
      </c>
      <c r="C44" s="1" t="str">
        <f t="shared" si="6"/>
        <v>2019</v>
      </c>
      <c r="D44" s="1" t="str">
        <f t="shared" si="0"/>
        <v>03</v>
      </c>
      <c r="E44" s="1" t="str">
        <f t="shared" si="1"/>
        <v>23</v>
      </c>
      <c r="F44" s="1" t="str">
        <f t="shared" si="2"/>
        <v>16</v>
      </c>
      <c r="G44" s="1" t="str">
        <f t="shared" si="3"/>
        <v>29</v>
      </c>
      <c r="H44" s="1" t="str">
        <f t="shared" si="4"/>
        <v>26</v>
      </c>
      <c r="I44" s="4">
        <v>0</v>
      </c>
      <c r="J44" s="9" t="s">
        <v>9</v>
      </c>
      <c r="K44" s="3" t="str">
        <f t="shared" si="7"/>
        <v>2019-03-23 16.29.26</v>
      </c>
      <c r="L44" s="6" t="str">
        <f t="shared" si="8"/>
        <v/>
      </c>
      <c r="M44" s="6" t="str">
        <f t="shared" si="9"/>
        <v>.jpg</v>
      </c>
      <c r="N44" s="2" t="str">
        <f t="shared" si="10"/>
        <v>2019-03-23 16.29.26.jpg</v>
      </c>
    </row>
    <row r="45" spans="1:14" x14ac:dyDescent="0.25">
      <c r="A45" s="6" t="s">
        <v>62</v>
      </c>
      <c r="B45" s="15" t="s">
        <v>101</v>
      </c>
      <c r="C45" s="1" t="str">
        <f t="shared" si="6"/>
        <v>2019</v>
      </c>
      <c r="D45" s="1" t="str">
        <f t="shared" si="0"/>
        <v>03</v>
      </c>
      <c r="E45" s="1" t="str">
        <f t="shared" si="1"/>
        <v>23</v>
      </c>
      <c r="F45" s="1" t="str">
        <f t="shared" si="2"/>
        <v>17</v>
      </c>
      <c r="G45" s="1" t="str">
        <f t="shared" si="3"/>
        <v>38</v>
      </c>
      <c r="H45" s="1" t="str">
        <f t="shared" si="4"/>
        <v>10</v>
      </c>
      <c r="I45" s="4">
        <v>0</v>
      </c>
      <c r="J45" s="9" t="s">
        <v>9</v>
      </c>
      <c r="K45" s="3" t="str">
        <f t="shared" si="7"/>
        <v>2019-03-23 17.38.10</v>
      </c>
      <c r="L45" s="6" t="str">
        <f t="shared" si="8"/>
        <v/>
      </c>
      <c r="M45" s="6" t="str">
        <f t="shared" si="9"/>
        <v>.jpg</v>
      </c>
      <c r="N45" s="2" t="str">
        <f t="shared" si="10"/>
        <v>2019-03-23 17.38.10.jpg</v>
      </c>
    </row>
    <row r="46" spans="1:14" x14ac:dyDescent="0.25">
      <c r="A46" s="6" t="s">
        <v>63</v>
      </c>
      <c r="B46" s="15" t="s">
        <v>101</v>
      </c>
      <c r="C46" s="1" t="str">
        <f t="shared" si="6"/>
        <v>2019</v>
      </c>
      <c r="D46" s="1" t="str">
        <f t="shared" si="0"/>
        <v>03</v>
      </c>
      <c r="E46" s="1" t="str">
        <f t="shared" si="1"/>
        <v>23</v>
      </c>
      <c r="F46" s="1" t="str">
        <f t="shared" si="2"/>
        <v>17</v>
      </c>
      <c r="G46" s="1" t="str">
        <f t="shared" si="3"/>
        <v>43</v>
      </c>
      <c r="H46" s="1" t="str">
        <f t="shared" si="4"/>
        <v>41</v>
      </c>
      <c r="I46" s="4">
        <v>0</v>
      </c>
      <c r="J46" s="9" t="s">
        <v>9</v>
      </c>
      <c r="K46" s="3" t="str">
        <f t="shared" si="7"/>
        <v>2019-03-23 17.43.41</v>
      </c>
      <c r="L46" s="6" t="str">
        <f t="shared" si="8"/>
        <v/>
      </c>
      <c r="M46" s="6" t="str">
        <f t="shared" si="9"/>
        <v>.mov</v>
      </c>
      <c r="N46" s="2" t="str">
        <f t="shared" si="10"/>
        <v>2019-03-23 17.43.41.mov</v>
      </c>
    </row>
    <row r="47" spans="1:14" x14ac:dyDescent="0.25">
      <c r="A47" s="6" t="s">
        <v>64</v>
      </c>
      <c r="B47" s="15" t="s">
        <v>101</v>
      </c>
      <c r="C47" s="1" t="str">
        <f t="shared" si="6"/>
        <v>2019</v>
      </c>
      <c r="D47" s="1" t="str">
        <f t="shared" si="0"/>
        <v>03</v>
      </c>
      <c r="E47" s="1" t="str">
        <f t="shared" si="1"/>
        <v>23</v>
      </c>
      <c r="F47" s="1" t="str">
        <f t="shared" si="2"/>
        <v>17</v>
      </c>
      <c r="G47" s="1" t="str">
        <f t="shared" si="3"/>
        <v>43</v>
      </c>
      <c r="H47" s="1" t="str">
        <f t="shared" si="4"/>
        <v>41</v>
      </c>
      <c r="I47" s="4">
        <v>0</v>
      </c>
      <c r="J47" s="9" t="s">
        <v>9</v>
      </c>
      <c r="K47" s="3" t="str">
        <f t="shared" si="7"/>
        <v>2019-03-23 17.43.41</v>
      </c>
      <c r="L47" s="6" t="str">
        <f t="shared" si="8"/>
        <v/>
      </c>
      <c r="M47" s="6" t="str">
        <f t="shared" si="9"/>
        <v>.mp4</v>
      </c>
      <c r="N47" s="2" t="str">
        <f t="shared" si="10"/>
        <v>2019-03-23 17.43.41.mp4</v>
      </c>
    </row>
    <row r="48" spans="1:14" x14ac:dyDescent="0.25">
      <c r="A48" s="6" t="s">
        <v>65</v>
      </c>
      <c r="B48" s="15" t="s">
        <v>101</v>
      </c>
      <c r="C48" s="1" t="str">
        <f t="shared" si="6"/>
        <v>2019</v>
      </c>
      <c r="D48" s="1" t="str">
        <f t="shared" si="0"/>
        <v>03</v>
      </c>
      <c r="E48" s="1" t="str">
        <f t="shared" si="1"/>
        <v>23</v>
      </c>
      <c r="F48" s="1" t="str">
        <f t="shared" si="2"/>
        <v>18</v>
      </c>
      <c r="G48" s="1" t="str">
        <f t="shared" si="3"/>
        <v>10</v>
      </c>
      <c r="H48" s="1" t="str">
        <f t="shared" si="4"/>
        <v>27</v>
      </c>
      <c r="I48" s="4">
        <v>0</v>
      </c>
      <c r="J48" s="9" t="s">
        <v>9</v>
      </c>
      <c r="K48" s="3" t="str">
        <f t="shared" si="7"/>
        <v>2019-03-23 18.10.27</v>
      </c>
      <c r="L48" s="6" t="str">
        <f t="shared" si="8"/>
        <v/>
      </c>
      <c r="M48" s="6" t="str">
        <f t="shared" si="9"/>
        <v>.jpg</v>
      </c>
      <c r="N48" s="2" t="str">
        <f t="shared" si="10"/>
        <v>2019-03-23 18.10.27.jpg</v>
      </c>
    </row>
    <row r="49" spans="1:14" x14ac:dyDescent="0.25">
      <c r="A49" s="6" t="s">
        <v>66</v>
      </c>
      <c r="B49" s="15" t="s">
        <v>101</v>
      </c>
      <c r="C49" s="1" t="str">
        <f t="shared" si="6"/>
        <v>2019</v>
      </c>
      <c r="D49" s="1" t="str">
        <f t="shared" si="0"/>
        <v>03</v>
      </c>
      <c r="E49" s="1" t="str">
        <f t="shared" si="1"/>
        <v>23</v>
      </c>
      <c r="F49" s="1" t="str">
        <f t="shared" si="2"/>
        <v>22</v>
      </c>
      <c r="G49" s="1" t="str">
        <f t="shared" si="3"/>
        <v>42</v>
      </c>
      <c r="H49" s="1" t="str">
        <f t="shared" si="4"/>
        <v>05</v>
      </c>
      <c r="I49" s="4">
        <v>0</v>
      </c>
      <c r="J49" s="9" t="s">
        <v>9</v>
      </c>
      <c r="K49" s="3" t="str">
        <f t="shared" si="7"/>
        <v>2019-03-23 22.42.05</v>
      </c>
      <c r="L49" s="6" t="str">
        <f t="shared" si="8"/>
        <v/>
      </c>
      <c r="M49" s="6" t="str">
        <f t="shared" si="9"/>
        <v>.jpg</v>
      </c>
      <c r="N49" s="2" t="str">
        <f t="shared" si="10"/>
        <v>2019-03-23 22.42.05.jpg</v>
      </c>
    </row>
    <row r="50" spans="1:14" x14ac:dyDescent="0.25">
      <c r="A50" s="6" t="s">
        <v>67</v>
      </c>
      <c r="B50" s="15" t="s">
        <v>101</v>
      </c>
      <c r="C50" s="1" t="str">
        <f t="shared" si="6"/>
        <v>2019</v>
      </c>
      <c r="D50" s="1" t="str">
        <f t="shared" si="0"/>
        <v>03</v>
      </c>
      <c r="E50" s="1" t="str">
        <f t="shared" si="1"/>
        <v>23</v>
      </c>
      <c r="F50" s="1" t="str">
        <f t="shared" si="2"/>
        <v>22</v>
      </c>
      <c r="G50" s="1" t="str">
        <f t="shared" si="3"/>
        <v>42</v>
      </c>
      <c r="H50" s="1" t="str">
        <f t="shared" si="4"/>
        <v>41</v>
      </c>
      <c r="I50" s="4">
        <v>0</v>
      </c>
      <c r="J50" s="9" t="s">
        <v>9</v>
      </c>
      <c r="K50" s="3" t="str">
        <f t="shared" si="7"/>
        <v>2019-03-23 22.42.41</v>
      </c>
      <c r="L50" s="6" t="str">
        <f t="shared" si="8"/>
        <v/>
      </c>
      <c r="M50" s="6" t="str">
        <f t="shared" si="9"/>
        <v>.jpg</v>
      </c>
      <c r="N50" s="2" t="str">
        <f t="shared" si="10"/>
        <v>2019-03-23 22.42.41.jpg</v>
      </c>
    </row>
    <row r="51" spans="1:14" x14ac:dyDescent="0.25">
      <c r="A51" s="6" t="s">
        <v>68</v>
      </c>
      <c r="B51" s="15" t="s">
        <v>101</v>
      </c>
      <c r="C51" s="1" t="str">
        <f t="shared" si="6"/>
        <v>2019</v>
      </c>
      <c r="D51" s="1" t="str">
        <f t="shared" si="0"/>
        <v>03</v>
      </c>
      <c r="E51" s="1" t="str">
        <f t="shared" si="1"/>
        <v>23</v>
      </c>
      <c r="F51" s="1" t="str">
        <f t="shared" si="2"/>
        <v>22</v>
      </c>
      <c r="G51" s="1" t="str">
        <f t="shared" si="3"/>
        <v>42</v>
      </c>
      <c r="H51" s="1" t="str">
        <f t="shared" si="4"/>
        <v>55</v>
      </c>
      <c r="I51" s="4">
        <v>0</v>
      </c>
      <c r="J51" s="9" t="s">
        <v>9</v>
      </c>
      <c r="K51" s="3" t="str">
        <f t="shared" si="7"/>
        <v>2019-03-23 22.42.55</v>
      </c>
      <c r="L51" s="6" t="str">
        <f t="shared" si="8"/>
        <v/>
      </c>
      <c r="M51" s="6" t="str">
        <f t="shared" si="9"/>
        <v>.jpg</v>
      </c>
      <c r="N51" s="2" t="str">
        <f t="shared" si="10"/>
        <v>2019-03-23 22.42.55.jpg</v>
      </c>
    </row>
    <row r="52" spans="1:14" x14ac:dyDescent="0.25">
      <c r="A52" s="6" t="s">
        <v>69</v>
      </c>
      <c r="B52" s="15" t="s">
        <v>101</v>
      </c>
      <c r="C52" s="1" t="str">
        <f t="shared" si="6"/>
        <v>2019</v>
      </c>
      <c r="D52" s="1" t="str">
        <f t="shared" si="0"/>
        <v>03</v>
      </c>
      <c r="E52" s="1" t="str">
        <f t="shared" si="1"/>
        <v>24</v>
      </c>
      <c r="F52" s="1" t="str">
        <f t="shared" si="2"/>
        <v>00</v>
      </c>
      <c r="G52" s="1" t="str">
        <f t="shared" si="3"/>
        <v>24</v>
      </c>
      <c r="H52" s="1" t="str">
        <f t="shared" si="4"/>
        <v>43</v>
      </c>
      <c r="I52" s="4">
        <v>0</v>
      </c>
      <c r="J52" s="9" t="s">
        <v>9</v>
      </c>
      <c r="K52" s="3" t="str">
        <f t="shared" si="7"/>
        <v>2019-03-24 00.24.43</v>
      </c>
      <c r="L52" s="6" t="str">
        <f t="shared" si="8"/>
        <v/>
      </c>
      <c r="M52" s="6" t="str">
        <f t="shared" si="9"/>
        <v>.jpg</v>
      </c>
      <c r="N52" s="2" t="str">
        <f t="shared" si="10"/>
        <v>2019-03-24 00.24.43.jpg</v>
      </c>
    </row>
    <row r="53" spans="1:14" x14ac:dyDescent="0.25">
      <c r="A53" s="6" t="s">
        <v>70</v>
      </c>
      <c r="B53" s="15" t="s">
        <v>101</v>
      </c>
      <c r="C53" s="1" t="str">
        <f t="shared" si="6"/>
        <v>2019</v>
      </c>
      <c r="D53" s="1" t="str">
        <f t="shared" si="0"/>
        <v>03</v>
      </c>
      <c r="E53" s="1" t="str">
        <f t="shared" si="1"/>
        <v>24</v>
      </c>
      <c r="F53" s="1" t="str">
        <f t="shared" si="2"/>
        <v>11</v>
      </c>
      <c r="G53" s="1" t="str">
        <f t="shared" si="3"/>
        <v>28</v>
      </c>
      <c r="H53" s="1" t="str">
        <f t="shared" si="4"/>
        <v>29</v>
      </c>
      <c r="I53" s="4">
        <v>0</v>
      </c>
      <c r="J53" s="9" t="s">
        <v>9</v>
      </c>
      <c r="K53" s="3" t="str">
        <f t="shared" si="7"/>
        <v>2019-03-24 11.28.29</v>
      </c>
      <c r="L53" s="6" t="str">
        <f t="shared" si="8"/>
        <v/>
      </c>
      <c r="M53" s="6" t="str">
        <f t="shared" si="9"/>
        <v>.jpg</v>
      </c>
      <c r="N53" s="2" t="str">
        <f t="shared" si="10"/>
        <v>2019-03-24 11.28.29.jpg</v>
      </c>
    </row>
    <row r="54" spans="1:14" x14ac:dyDescent="0.25">
      <c r="A54" s="6" t="s">
        <v>71</v>
      </c>
      <c r="B54" s="15" t="s">
        <v>101</v>
      </c>
      <c r="C54" s="1" t="str">
        <f t="shared" si="6"/>
        <v>2019</v>
      </c>
      <c r="D54" s="1" t="str">
        <f t="shared" si="0"/>
        <v>03</v>
      </c>
      <c r="E54" s="1" t="str">
        <f t="shared" si="1"/>
        <v>24</v>
      </c>
      <c r="F54" s="1" t="str">
        <f t="shared" si="2"/>
        <v>11</v>
      </c>
      <c r="G54" s="1" t="str">
        <f t="shared" si="3"/>
        <v>31</v>
      </c>
      <c r="H54" s="1" t="str">
        <f t="shared" si="4"/>
        <v>21</v>
      </c>
      <c r="I54" s="4">
        <v>0</v>
      </c>
      <c r="J54" s="9" t="s">
        <v>9</v>
      </c>
      <c r="K54" s="3" t="str">
        <f t="shared" si="7"/>
        <v>2019-03-24 11.31.21</v>
      </c>
      <c r="L54" s="6" t="str">
        <f t="shared" si="8"/>
        <v/>
      </c>
      <c r="M54" s="6" t="str">
        <f t="shared" si="9"/>
        <v>.jpg</v>
      </c>
      <c r="N54" s="2" t="str">
        <f t="shared" si="10"/>
        <v>2019-03-24 11.31.21.jpg</v>
      </c>
    </row>
    <row r="55" spans="1:14" x14ac:dyDescent="0.25">
      <c r="A55" s="6" t="s">
        <v>72</v>
      </c>
      <c r="B55" s="15" t="s">
        <v>101</v>
      </c>
      <c r="C55" s="1" t="str">
        <f t="shared" si="6"/>
        <v>2019</v>
      </c>
      <c r="D55" s="1" t="str">
        <f t="shared" si="0"/>
        <v>03</v>
      </c>
      <c r="E55" s="1" t="str">
        <f t="shared" si="1"/>
        <v>24</v>
      </c>
      <c r="F55" s="1" t="str">
        <f t="shared" si="2"/>
        <v>11</v>
      </c>
      <c r="G55" s="1" t="str">
        <f t="shared" si="3"/>
        <v>32</v>
      </c>
      <c r="H55" s="1" t="str">
        <f t="shared" si="4"/>
        <v>01</v>
      </c>
      <c r="I55" s="4">
        <v>0</v>
      </c>
      <c r="J55" s="9" t="s">
        <v>9</v>
      </c>
      <c r="K55" s="3" t="str">
        <f t="shared" si="7"/>
        <v>2019-03-24 11.32.01</v>
      </c>
      <c r="L55" s="6" t="str">
        <f t="shared" si="8"/>
        <v/>
      </c>
      <c r="M55" s="6" t="str">
        <f t="shared" si="9"/>
        <v>.jpg</v>
      </c>
      <c r="N55" s="2" t="str">
        <f t="shared" si="10"/>
        <v>2019-03-24 11.32.01.jpg</v>
      </c>
    </row>
    <row r="56" spans="1:14" x14ac:dyDescent="0.25">
      <c r="A56" s="6" t="s">
        <v>73</v>
      </c>
      <c r="B56" s="15" t="s">
        <v>101</v>
      </c>
      <c r="C56" s="1" t="str">
        <f t="shared" si="6"/>
        <v>2019</v>
      </c>
      <c r="D56" s="1" t="str">
        <f t="shared" si="0"/>
        <v>03</v>
      </c>
      <c r="E56" s="1" t="str">
        <f t="shared" si="1"/>
        <v>24</v>
      </c>
      <c r="F56" s="1" t="str">
        <f t="shared" si="2"/>
        <v>11</v>
      </c>
      <c r="G56" s="1" t="str">
        <f t="shared" si="3"/>
        <v>32</v>
      </c>
      <c r="H56" s="1" t="str">
        <f t="shared" si="4"/>
        <v>06</v>
      </c>
      <c r="I56" s="4">
        <v>0</v>
      </c>
      <c r="J56" s="9" t="s">
        <v>9</v>
      </c>
      <c r="K56" s="3" t="str">
        <f t="shared" si="7"/>
        <v>2019-03-24 11.32.06</v>
      </c>
      <c r="L56" s="6" t="str">
        <f t="shared" si="8"/>
        <v/>
      </c>
      <c r="M56" s="6" t="str">
        <f t="shared" si="9"/>
        <v>.jpg</v>
      </c>
      <c r="N56" s="2" t="str">
        <f t="shared" si="10"/>
        <v>2019-03-24 11.32.06.jpg</v>
      </c>
    </row>
    <row r="57" spans="1:14" x14ac:dyDescent="0.25">
      <c r="A57" s="6" t="s">
        <v>74</v>
      </c>
      <c r="B57" s="15" t="s">
        <v>101</v>
      </c>
      <c r="C57" s="1" t="str">
        <f t="shared" si="6"/>
        <v>2019</v>
      </c>
      <c r="D57" s="1" t="str">
        <f t="shared" si="0"/>
        <v>03</v>
      </c>
      <c r="E57" s="1" t="str">
        <f t="shared" si="1"/>
        <v>24</v>
      </c>
      <c r="F57" s="1" t="str">
        <f t="shared" si="2"/>
        <v>11</v>
      </c>
      <c r="G57" s="1" t="str">
        <f t="shared" si="3"/>
        <v>36</v>
      </c>
      <c r="H57" s="1" t="str">
        <f t="shared" si="4"/>
        <v>54</v>
      </c>
      <c r="I57" s="4">
        <v>0</v>
      </c>
      <c r="J57" s="9" t="s">
        <v>9</v>
      </c>
      <c r="K57" s="3" t="str">
        <f t="shared" si="7"/>
        <v>2019-03-24 11.36.54</v>
      </c>
      <c r="L57" s="6" t="str">
        <f t="shared" si="8"/>
        <v/>
      </c>
      <c r="M57" s="6" t="str">
        <f t="shared" si="9"/>
        <v>.jpg</v>
      </c>
      <c r="N57" s="2" t="str">
        <f t="shared" si="10"/>
        <v>2019-03-24 11.36.54.jpg</v>
      </c>
    </row>
    <row r="58" spans="1:14" x14ac:dyDescent="0.25">
      <c r="A58" s="6" t="s">
        <v>75</v>
      </c>
      <c r="B58" s="15" t="s">
        <v>101</v>
      </c>
      <c r="C58" s="1" t="str">
        <f t="shared" si="6"/>
        <v>2019</v>
      </c>
      <c r="D58" s="1" t="str">
        <f t="shared" si="0"/>
        <v>03</v>
      </c>
      <c r="E58" s="1" t="str">
        <f t="shared" si="1"/>
        <v>24</v>
      </c>
      <c r="F58" s="1" t="str">
        <f t="shared" si="2"/>
        <v>11</v>
      </c>
      <c r="G58" s="1" t="str">
        <f t="shared" si="3"/>
        <v>37</v>
      </c>
      <c r="H58" s="1" t="str">
        <f t="shared" si="4"/>
        <v>57</v>
      </c>
      <c r="I58" s="4">
        <v>0</v>
      </c>
      <c r="J58" s="9" t="s">
        <v>9</v>
      </c>
      <c r="K58" s="3" t="str">
        <f t="shared" si="7"/>
        <v>2019-03-24 11.37.57</v>
      </c>
      <c r="L58" s="6" t="str">
        <f t="shared" si="8"/>
        <v/>
      </c>
      <c r="M58" s="6" t="str">
        <f t="shared" si="9"/>
        <v>.mp4</v>
      </c>
      <c r="N58" s="2" t="str">
        <f t="shared" si="10"/>
        <v>2019-03-24 11.37.57.mp4</v>
      </c>
    </row>
    <row r="59" spans="1:14" x14ac:dyDescent="0.25">
      <c r="A59" s="6" t="s">
        <v>76</v>
      </c>
      <c r="B59" s="15" t="s">
        <v>101</v>
      </c>
      <c r="C59" s="1" t="str">
        <f t="shared" si="6"/>
        <v>2019</v>
      </c>
      <c r="D59" s="1" t="str">
        <f t="shared" si="0"/>
        <v>03</v>
      </c>
      <c r="E59" s="1" t="str">
        <f t="shared" si="1"/>
        <v>24</v>
      </c>
      <c r="F59" s="1" t="str">
        <f t="shared" si="2"/>
        <v>17</v>
      </c>
      <c r="G59" s="1" t="str">
        <f t="shared" si="3"/>
        <v>38</v>
      </c>
      <c r="H59" s="1" t="str">
        <f t="shared" si="4"/>
        <v>10</v>
      </c>
      <c r="I59" s="4">
        <v>0</v>
      </c>
      <c r="J59" s="9" t="s">
        <v>9</v>
      </c>
      <c r="K59" s="3" t="str">
        <f t="shared" si="7"/>
        <v>2019-03-24 17.38.10</v>
      </c>
      <c r="L59" s="6" t="str">
        <f t="shared" si="8"/>
        <v/>
      </c>
      <c r="M59" s="6" t="str">
        <f t="shared" si="9"/>
        <v>.jpg</v>
      </c>
      <c r="N59" s="2" t="str">
        <f t="shared" si="10"/>
        <v>2019-03-24 17.38.10.jpg</v>
      </c>
    </row>
    <row r="60" spans="1:14" x14ac:dyDescent="0.25">
      <c r="A60" s="6" t="s">
        <v>77</v>
      </c>
      <c r="B60" s="15" t="s">
        <v>101</v>
      </c>
      <c r="C60" s="1" t="str">
        <f t="shared" si="6"/>
        <v>2019</v>
      </c>
      <c r="D60" s="1" t="str">
        <f t="shared" si="0"/>
        <v>03</v>
      </c>
      <c r="E60" s="1" t="str">
        <f t="shared" si="1"/>
        <v>24</v>
      </c>
      <c r="F60" s="1" t="str">
        <f t="shared" si="2"/>
        <v>17</v>
      </c>
      <c r="G60" s="1" t="str">
        <f t="shared" si="3"/>
        <v>38</v>
      </c>
      <c r="H60" s="1" t="str">
        <f t="shared" si="4"/>
        <v>21</v>
      </c>
      <c r="I60" s="4">
        <v>0</v>
      </c>
      <c r="J60" s="9" t="s">
        <v>9</v>
      </c>
      <c r="K60" s="3" t="str">
        <f t="shared" si="7"/>
        <v>2019-03-24 17.38.21</v>
      </c>
      <c r="L60" s="6" t="str">
        <f t="shared" si="8"/>
        <v/>
      </c>
      <c r="M60" s="6" t="str">
        <f t="shared" si="9"/>
        <v>.jpg</v>
      </c>
      <c r="N60" s="2" t="str">
        <f t="shared" si="10"/>
        <v>2019-03-24 17.38.21.jpg</v>
      </c>
    </row>
    <row r="61" spans="1:14" x14ac:dyDescent="0.25">
      <c r="A61" s="6" t="s">
        <v>78</v>
      </c>
      <c r="B61" s="15" t="s">
        <v>101</v>
      </c>
      <c r="C61" s="1" t="str">
        <f t="shared" si="6"/>
        <v>2019</v>
      </c>
      <c r="D61" s="1" t="str">
        <f t="shared" si="0"/>
        <v>03</v>
      </c>
      <c r="E61" s="1" t="str">
        <f t="shared" si="1"/>
        <v>24</v>
      </c>
      <c r="F61" s="1" t="str">
        <f t="shared" si="2"/>
        <v>17</v>
      </c>
      <c r="G61" s="1" t="str">
        <f t="shared" si="3"/>
        <v>38</v>
      </c>
      <c r="H61" s="1" t="str">
        <f t="shared" si="4"/>
        <v>24</v>
      </c>
      <c r="I61" s="4">
        <v>0</v>
      </c>
      <c r="J61" s="9" t="s">
        <v>9</v>
      </c>
      <c r="K61" s="3" t="str">
        <f t="shared" si="7"/>
        <v>2019-03-24 17.38.24</v>
      </c>
      <c r="L61" s="6" t="str">
        <f t="shared" si="8"/>
        <v/>
      </c>
      <c r="M61" s="6" t="str">
        <f t="shared" si="9"/>
        <v>.jpg</v>
      </c>
      <c r="N61" s="2" t="str">
        <f t="shared" si="10"/>
        <v>2019-03-24 17.38.24.jpg</v>
      </c>
    </row>
    <row r="62" spans="1:14" x14ac:dyDescent="0.25">
      <c r="A62" s="6" t="s">
        <v>79</v>
      </c>
      <c r="B62" s="15" t="s">
        <v>101</v>
      </c>
      <c r="C62" s="1" t="str">
        <f t="shared" si="6"/>
        <v>2019</v>
      </c>
      <c r="D62" s="1" t="str">
        <f t="shared" si="0"/>
        <v>03</v>
      </c>
      <c r="E62" s="1" t="str">
        <f t="shared" si="1"/>
        <v>24</v>
      </c>
      <c r="F62" s="1" t="str">
        <f t="shared" si="2"/>
        <v>18</v>
      </c>
      <c r="G62" s="1" t="str">
        <f t="shared" si="3"/>
        <v>07</v>
      </c>
      <c r="H62" s="1" t="str">
        <f t="shared" si="4"/>
        <v>40</v>
      </c>
      <c r="I62" s="4">
        <v>0</v>
      </c>
      <c r="J62" s="9" t="s">
        <v>9</v>
      </c>
      <c r="K62" s="3" t="str">
        <f t="shared" si="7"/>
        <v>2019-03-24 18.07.40</v>
      </c>
      <c r="L62" s="6" t="str">
        <f t="shared" si="8"/>
        <v/>
      </c>
      <c r="M62" s="6" t="str">
        <f t="shared" si="9"/>
        <v>.mp4</v>
      </c>
      <c r="N62" s="2" t="str">
        <f t="shared" si="10"/>
        <v>2019-03-24 18.07.40.mp4</v>
      </c>
    </row>
    <row r="63" spans="1:14" x14ac:dyDescent="0.25">
      <c r="A63" s="6" t="s">
        <v>80</v>
      </c>
      <c r="B63" s="15" t="s">
        <v>101</v>
      </c>
      <c r="C63" s="1" t="str">
        <f t="shared" si="6"/>
        <v>2019</v>
      </c>
      <c r="D63" s="1" t="str">
        <f t="shared" si="0"/>
        <v>03</v>
      </c>
      <c r="E63" s="1" t="str">
        <f t="shared" si="1"/>
        <v>24</v>
      </c>
      <c r="F63" s="1" t="str">
        <f t="shared" si="2"/>
        <v>18</v>
      </c>
      <c r="G63" s="1" t="str">
        <f t="shared" si="3"/>
        <v>13</v>
      </c>
      <c r="H63" s="1" t="str">
        <f t="shared" si="4"/>
        <v>45</v>
      </c>
      <c r="I63" s="4">
        <v>0</v>
      </c>
      <c r="J63" s="9" t="s">
        <v>9</v>
      </c>
      <c r="K63" s="3" t="str">
        <f t="shared" si="7"/>
        <v>2019-03-24 18.13.45</v>
      </c>
      <c r="L63" s="6" t="str">
        <f t="shared" si="8"/>
        <v/>
      </c>
      <c r="M63" s="6" t="str">
        <f t="shared" si="9"/>
        <v>.mp4</v>
      </c>
      <c r="N63" s="2" t="str">
        <f t="shared" si="10"/>
        <v>2019-03-24 18.13.45.mp4</v>
      </c>
    </row>
    <row r="64" spans="1:14" x14ac:dyDescent="0.25">
      <c r="A64" s="6" t="s">
        <v>81</v>
      </c>
      <c r="B64" s="15" t="s">
        <v>101</v>
      </c>
      <c r="C64" s="1" t="str">
        <f t="shared" si="6"/>
        <v>2019</v>
      </c>
      <c r="D64" s="1" t="str">
        <f t="shared" si="0"/>
        <v>03</v>
      </c>
      <c r="E64" s="1" t="str">
        <f t="shared" si="1"/>
        <v>26</v>
      </c>
      <c r="F64" s="1" t="str">
        <f t="shared" si="2"/>
        <v>22</v>
      </c>
      <c r="G64" s="1" t="str">
        <f t="shared" si="3"/>
        <v>58</v>
      </c>
      <c r="H64" s="1" t="str">
        <f t="shared" si="4"/>
        <v>02</v>
      </c>
      <c r="I64" s="4">
        <v>0</v>
      </c>
      <c r="J64" s="9" t="s">
        <v>9</v>
      </c>
      <c r="K64" s="3" t="str">
        <f t="shared" si="7"/>
        <v>2019-03-26 22.58.02</v>
      </c>
      <c r="L64" s="6" t="str">
        <f t="shared" si="8"/>
        <v/>
      </c>
      <c r="M64" s="6" t="str">
        <f t="shared" si="9"/>
        <v>.jpg</v>
      </c>
      <c r="N64" s="2" t="str">
        <f t="shared" si="10"/>
        <v>2019-03-26 22.58.02.jpg</v>
      </c>
    </row>
    <row r="65" spans="1:14" x14ac:dyDescent="0.25">
      <c r="A65" s="6" t="s">
        <v>82</v>
      </c>
      <c r="B65" s="15" t="s">
        <v>101</v>
      </c>
      <c r="C65" s="1" t="str">
        <f t="shared" si="6"/>
        <v>2019</v>
      </c>
      <c r="D65" s="1" t="str">
        <f t="shared" si="0"/>
        <v>03</v>
      </c>
      <c r="E65" s="1" t="str">
        <f t="shared" si="1"/>
        <v>26</v>
      </c>
      <c r="F65" s="1" t="str">
        <f t="shared" si="2"/>
        <v>23</v>
      </c>
      <c r="G65" s="1" t="str">
        <f t="shared" si="3"/>
        <v>14</v>
      </c>
      <c r="H65" s="1" t="str">
        <f t="shared" si="4"/>
        <v>55</v>
      </c>
      <c r="I65" s="4">
        <v>0</v>
      </c>
      <c r="J65" s="9" t="s">
        <v>9</v>
      </c>
      <c r="K65" s="3" t="str">
        <f t="shared" si="7"/>
        <v>2019-03-26 23.14.55</v>
      </c>
      <c r="L65" s="6" t="str">
        <f t="shared" si="8"/>
        <v/>
      </c>
      <c r="M65" s="6" t="str">
        <f t="shared" si="9"/>
        <v>.jpg</v>
      </c>
      <c r="N65" s="2" t="str">
        <f t="shared" si="10"/>
        <v>2019-03-26 23.14.55.jpg</v>
      </c>
    </row>
    <row r="66" spans="1:14" x14ac:dyDescent="0.25">
      <c r="A66" s="6" t="s">
        <v>83</v>
      </c>
      <c r="B66" s="15" t="s">
        <v>101</v>
      </c>
      <c r="C66" s="1" t="str">
        <f t="shared" si="6"/>
        <v>2019</v>
      </c>
      <c r="D66" s="1" t="str">
        <f t="shared" si="0"/>
        <v>03</v>
      </c>
      <c r="E66" s="1" t="str">
        <f t="shared" si="1"/>
        <v>27</v>
      </c>
      <c r="F66" s="1" t="str">
        <f t="shared" si="2"/>
        <v>10</v>
      </c>
      <c r="G66" s="1" t="str">
        <f t="shared" si="3"/>
        <v>57</v>
      </c>
      <c r="H66" s="1" t="str">
        <f t="shared" si="4"/>
        <v>47</v>
      </c>
      <c r="I66" s="4">
        <v>0</v>
      </c>
      <c r="J66" s="9" t="s">
        <v>9</v>
      </c>
      <c r="K66" s="3" t="str">
        <f t="shared" si="7"/>
        <v>2019-03-27 10.57.47</v>
      </c>
      <c r="L66" s="6" t="str">
        <f t="shared" si="8"/>
        <v/>
      </c>
      <c r="M66" s="6" t="str">
        <f t="shared" si="9"/>
        <v>.mp4</v>
      </c>
      <c r="N66" s="2" t="str">
        <f t="shared" si="10"/>
        <v>2019-03-27 10.57.47.mp4</v>
      </c>
    </row>
    <row r="67" spans="1:14" x14ac:dyDescent="0.25">
      <c r="A67" s="6" t="s">
        <v>84</v>
      </c>
      <c r="B67" s="15" t="s">
        <v>101</v>
      </c>
      <c r="C67" s="1" t="str">
        <f t="shared" si="6"/>
        <v>2019</v>
      </c>
      <c r="D67" s="1" t="str">
        <f t="shared" si="0"/>
        <v>03</v>
      </c>
      <c r="E67" s="1" t="str">
        <f t="shared" si="1"/>
        <v>27</v>
      </c>
      <c r="F67" s="1" t="str">
        <f t="shared" si="2"/>
        <v>21</v>
      </c>
      <c r="G67" s="1" t="str">
        <f t="shared" si="3"/>
        <v>58</v>
      </c>
      <c r="H67" s="1" t="str">
        <f t="shared" si="4"/>
        <v>17</v>
      </c>
      <c r="I67" s="4">
        <v>0</v>
      </c>
      <c r="J67" s="9" t="s">
        <v>9</v>
      </c>
      <c r="K67" s="3" t="str">
        <f t="shared" si="7"/>
        <v>2019-03-27 21.58.17</v>
      </c>
      <c r="L67" s="6" t="str">
        <f t="shared" si="8"/>
        <v/>
      </c>
      <c r="M67" s="6" t="str">
        <f t="shared" si="9"/>
        <v>.mov</v>
      </c>
      <c r="N67" s="2" t="str">
        <f t="shared" si="10"/>
        <v>2019-03-27 21.58.17.mov</v>
      </c>
    </row>
    <row r="68" spans="1:14" x14ac:dyDescent="0.25">
      <c r="A68" s="6" t="s">
        <v>85</v>
      </c>
      <c r="B68" s="15" t="s">
        <v>101</v>
      </c>
      <c r="C68" s="1" t="str">
        <f t="shared" si="6"/>
        <v>2019</v>
      </c>
      <c r="D68" s="1" t="str">
        <f t="shared" ref="D68:D83" si="11">MID($A68,FIND("MM",$B68),2)</f>
        <v>03</v>
      </c>
      <c r="E68" s="1" t="str">
        <f t="shared" ref="E68:E83" si="12">MID($A68,FIND("DD",$B68),2)</f>
        <v>27</v>
      </c>
      <c r="F68" s="1" t="str">
        <f t="shared" ref="F68:F83" si="13">MID($A68,FIND("hh",$B68),2)</f>
        <v>21</v>
      </c>
      <c r="G68" s="1" t="str">
        <f t="shared" ref="G68:G83" si="14">MID($A68,FIND("mm",$B68),2)</f>
        <v>58</v>
      </c>
      <c r="H68" s="1" t="str">
        <f t="shared" ref="H68:H83" si="15">MID($A68,FIND("ss",$B68),2)</f>
        <v>18</v>
      </c>
      <c r="I68" s="4">
        <v>0</v>
      </c>
      <c r="J68" s="9" t="s">
        <v>9</v>
      </c>
      <c r="K68" s="3" t="str">
        <f t="shared" si="7"/>
        <v>2019-03-27 21.58.18</v>
      </c>
      <c r="L68" s="6" t="str">
        <f t="shared" si="8"/>
        <v/>
      </c>
      <c r="M68" s="6" t="str">
        <f t="shared" si="9"/>
        <v>.mov</v>
      </c>
      <c r="N68" s="2" t="str">
        <f t="shared" si="10"/>
        <v>2019-03-27 21.58.18.mov</v>
      </c>
    </row>
    <row r="69" spans="1:14" x14ac:dyDescent="0.25">
      <c r="A69" s="6" t="s">
        <v>86</v>
      </c>
      <c r="B69" s="15" t="s">
        <v>101</v>
      </c>
      <c r="C69" s="1" t="str">
        <f t="shared" ref="C69:C83" si="16">IF(ISERROR(FIND("YYYY",$B69)),"20"&amp;MID($A69,FIND("YY",$B69),2),MID($A69,FIND("YYYY",$B69),4))</f>
        <v>2019</v>
      </c>
      <c r="D69" s="1" t="str">
        <f t="shared" si="11"/>
        <v>03</v>
      </c>
      <c r="E69" s="1" t="str">
        <f t="shared" si="12"/>
        <v>28</v>
      </c>
      <c r="F69" s="1" t="str">
        <f t="shared" si="13"/>
        <v>21</v>
      </c>
      <c r="G69" s="1" t="str">
        <f t="shared" si="14"/>
        <v>52</v>
      </c>
      <c r="H69" s="1" t="str">
        <f t="shared" si="15"/>
        <v>16</v>
      </c>
      <c r="I69" s="4">
        <v>0</v>
      </c>
      <c r="J69" s="9" t="s">
        <v>9</v>
      </c>
      <c r="K69" s="3" t="str">
        <f t="shared" ref="K69:K83" si="17">TEXT(DATE(C69,D69,E69)+TIME(F69,G69,H69)+IF(J69="earlier",-I69,I69),K$2)</f>
        <v>2019-03-28 21.52.16</v>
      </c>
      <c r="L69" s="6" t="str">
        <f t="shared" ref="L69:L83" si="18">MID(A69,LEN(B69)+1,LEN(A69)-LEN(B69)-LEN(M69))&amp;$L$2</f>
        <v/>
      </c>
      <c r="M69" s="6" t="str">
        <f t="shared" ref="M69:M83" si="19">MID(A69,FIND(CHAR(1),SUBSTITUTE(A69,".",CHAR(1),(LEN(A69)-LEN(SUBSTITUTE(A69,".",""))))),256)</f>
        <v>.jpg</v>
      </c>
      <c r="N69" s="2" t="str">
        <f t="shared" ref="N69:N83" si="20">$J$2&amp;K69&amp;L69&amp;M69</f>
        <v>2019-03-28 21.52.16.jpg</v>
      </c>
    </row>
    <row r="70" spans="1:14" x14ac:dyDescent="0.25">
      <c r="A70" s="6" t="s">
        <v>87</v>
      </c>
      <c r="B70" s="15" t="s">
        <v>101</v>
      </c>
      <c r="C70" s="1" t="str">
        <f t="shared" si="16"/>
        <v>2019</v>
      </c>
      <c r="D70" s="1" t="str">
        <f t="shared" si="11"/>
        <v>03</v>
      </c>
      <c r="E70" s="1" t="str">
        <f t="shared" si="12"/>
        <v>30</v>
      </c>
      <c r="F70" s="1" t="str">
        <f t="shared" si="13"/>
        <v>14</v>
      </c>
      <c r="G70" s="1" t="str">
        <f t="shared" si="14"/>
        <v>19</v>
      </c>
      <c r="H70" s="1" t="str">
        <f t="shared" si="15"/>
        <v>38</v>
      </c>
      <c r="I70" s="4">
        <v>0</v>
      </c>
      <c r="J70" s="9" t="s">
        <v>9</v>
      </c>
      <c r="K70" s="3" t="str">
        <f t="shared" si="17"/>
        <v>2019-03-30 14.19.38</v>
      </c>
      <c r="L70" s="6" t="str">
        <f t="shared" si="18"/>
        <v/>
      </c>
      <c r="M70" s="6" t="str">
        <f t="shared" si="19"/>
        <v>.jpg</v>
      </c>
      <c r="N70" s="2" t="str">
        <f t="shared" si="20"/>
        <v>2019-03-30 14.19.38.jpg</v>
      </c>
    </row>
    <row r="71" spans="1:14" x14ac:dyDescent="0.25">
      <c r="A71" s="6" t="s">
        <v>88</v>
      </c>
      <c r="B71" s="15" t="s">
        <v>101</v>
      </c>
      <c r="C71" s="1" t="str">
        <f t="shared" si="16"/>
        <v>2019</v>
      </c>
      <c r="D71" s="1" t="str">
        <f t="shared" si="11"/>
        <v>03</v>
      </c>
      <c r="E71" s="1" t="str">
        <f t="shared" si="12"/>
        <v>30</v>
      </c>
      <c r="F71" s="1" t="str">
        <f t="shared" si="13"/>
        <v>14</v>
      </c>
      <c r="G71" s="1" t="str">
        <f t="shared" si="14"/>
        <v>19</v>
      </c>
      <c r="H71" s="1" t="str">
        <f t="shared" si="15"/>
        <v>39</v>
      </c>
      <c r="I71" s="4">
        <v>0</v>
      </c>
      <c r="J71" s="9" t="s">
        <v>9</v>
      </c>
      <c r="K71" s="3" t="str">
        <f t="shared" si="17"/>
        <v>2019-03-30 14.19.39</v>
      </c>
      <c r="L71" s="6" t="str">
        <f t="shared" si="18"/>
        <v/>
      </c>
      <c r="M71" s="6" t="str">
        <f t="shared" si="19"/>
        <v>.jpg</v>
      </c>
      <c r="N71" s="2" t="str">
        <f t="shared" si="20"/>
        <v>2019-03-30 14.19.39.jpg</v>
      </c>
    </row>
    <row r="72" spans="1:14" x14ac:dyDescent="0.25">
      <c r="A72" s="6" t="s">
        <v>89</v>
      </c>
      <c r="B72" s="15" t="s">
        <v>101</v>
      </c>
      <c r="C72" s="1" t="str">
        <f t="shared" si="16"/>
        <v>2019</v>
      </c>
      <c r="D72" s="1" t="str">
        <f t="shared" si="11"/>
        <v>03</v>
      </c>
      <c r="E72" s="1" t="str">
        <f t="shared" si="12"/>
        <v>30</v>
      </c>
      <c r="F72" s="1" t="str">
        <f t="shared" si="13"/>
        <v>14</v>
      </c>
      <c r="G72" s="1" t="str">
        <f t="shared" si="14"/>
        <v>19</v>
      </c>
      <c r="H72" s="1" t="str">
        <f t="shared" si="15"/>
        <v>40</v>
      </c>
      <c r="I72" s="4">
        <v>0</v>
      </c>
      <c r="J72" s="9" t="s">
        <v>9</v>
      </c>
      <c r="K72" s="3" t="str">
        <f t="shared" si="17"/>
        <v>2019-03-30 14.19.40</v>
      </c>
      <c r="L72" s="6" t="str">
        <f t="shared" si="18"/>
        <v/>
      </c>
      <c r="M72" s="6" t="str">
        <f t="shared" si="19"/>
        <v>.jpg</v>
      </c>
      <c r="N72" s="2" t="str">
        <f t="shared" si="20"/>
        <v>2019-03-30 14.19.40.jpg</v>
      </c>
    </row>
    <row r="73" spans="1:14" x14ac:dyDescent="0.25">
      <c r="A73" s="6" t="s">
        <v>90</v>
      </c>
      <c r="B73" s="15" t="s">
        <v>101</v>
      </c>
      <c r="C73" s="1" t="str">
        <f t="shared" si="16"/>
        <v>2019</v>
      </c>
      <c r="D73" s="1" t="str">
        <f t="shared" si="11"/>
        <v>03</v>
      </c>
      <c r="E73" s="1" t="str">
        <f t="shared" si="12"/>
        <v>30</v>
      </c>
      <c r="F73" s="1" t="str">
        <f t="shared" si="13"/>
        <v>14</v>
      </c>
      <c r="G73" s="1" t="str">
        <f t="shared" si="14"/>
        <v>19</v>
      </c>
      <c r="H73" s="1" t="str">
        <f t="shared" si="15"/>
        <v>42</v>
      </c>
      <c r="I73" s="4">
        <v>0</v>
      </c>
      <c r="J73" s="9" t="s">
        <v>9</v>
      </c>
      <c r="K73" s="3" t="str">
        <f t="shared" si="17"/>
        <v>2019-03-30 14.19.42</v>
      </c>
      <c r="L73" s="6" t="str">
        <f t="shared" si="18"/>
        <v/>
      </c>
      <c r="M73" s="6" t="str">
        <f t="shared" si="19"/>
        <v>.jpg</v>
      </c>
      <c r="N73" s="2" t="str">
        <f t="shared" si="20"/>
        <v>2019-03-30 14.19.42.jpg</v>
      </c>
    </row>
    <row r="74" spans="1:14" x14ac:dyDescent="0.25">
      <c r="A74" s="6" t="s">
        <v>91</v>
      </c>
      <c r="B74" s="15" t="s">
        <v>101</v>
      </c>
      <c r="C74" s="1" t="str">
        <f t="shared" si="16"/>
        <v>2019</v>
      </c>
      <c r="D74" s="1" t="str">
        <f t="shared" si="11"/>
        <v>03</v>
      </c>
      <c r="E74" s="1" t="str">
        <f t="shared" si="12"/>
        <v>30</v>
      </c>
      <c r="F74" s="1" t="str">
        <f t="shared" si="13"/>
        <v>14</v>
      </c>
      <c r="G74" s="1" t="str">
        <f t="shared" si="14"/>
        <v>19</v>
      </c>
      <c r="H74" s="1" t="str">
        <f t="shared" si="15"/>
        <v>43</v>
      </c>
      <c r="I74" s="4">
        <v>0</v>
      </c>
      <c r="J74" s="9" t="s">
        <v>9</v>
      </c>
      <c r="K74" s="3" t="str">
        <f t="shared" si="17"/>
        <v>2019-03-30 14.19.43</v>
      </c>
      <c r="L74" s="6" t="str">
        <f t="shared" si="18"/>
        <v/>
      </c>
      <c r="M74" s="6" t="str">
        <f t="shared" si="19"/>
        <v>.jpg</v>
      </c>
      <c r="N74" s="2" t="str">
        <f t="shared" si="20"/>
        <v>2019-03-30 14.19.43.jpg</v>
      </c>
    </row>
    <row r="75" spans="1:14" x14ac:dyDescent="0.25">
      <c r="A75" s="6" t="s">
        <v>92</v>
      </c>
      <c r="B75" s="15" t="s">
        <v>101</v>
      </c>
      <c r="C75" s="1" t="str">
        <f t="shared" si="16"/>
        <v>2019</v>
      </c>
      <c r="D75" s="1" t="str">
        <f t="shared" si="11"/>
        <v>03</v>
      </c>
      <c r="E75" s="1" t="str">
        <f t="shared" si="12"/>
        <v>30</v>
      </c>
      <c r="F75" s="1" t="str">
        <f t="shared" si="13"/>
        <v>14</v>
      </c>
      <c r="G75" s="1" t="str">
        <f t="shared" si="14"/>
        <v>19</v>
      </c>
      <c r="H75" s="1" t="str">
        <f t="shared" si="15"/>
        <v>44</v>
      </c>
      <c r="I75" s="4">
        <v>0</v>
      </c>
      <c r="J75" s="9" t="s">
        <v>9</v>
      </c>
      <c r="K75" s="3" t="str">
        <f t="shared" si="17"/>
        <v>2019-03-30 14.19.44</v>
      </c>
      <c r="L75" s="6" t="str">
        <f t="shared" si="18"/>
        <v/>
      </c>
      <c r="M75" s="6" t="str">
        <f t="shared" si="19"/>
        <v>.jpg</v>
      </c>
      <c r="N75" s="2" t="str">
        <f t="shared" si="20"/>
        <v>2019-03-30 14.19.44.jpg</v>
      </c>
    </row>
    <row r="76" spans="1:14" x14ac:dyDescent="0.25">
      <c r="A76" s="6" t="s">
        <v>93</v>
      </c>
      <c r="B76" s="15" t="s">
        <v>101</v>
      </c>
      <c r="C76" s="1" t="str">
        <f t="shared" si="16"/>
        <v>2019</v>
      </c>
      <c r="D76" s="1" t="str">
        <f t="shared" si="11"/>
        <v>03</v>
      </c>
      <c r="E76" s="1" t="str">
        <f t="shared" si="12"/>
        <v>30</v>
      </c>
      <c r="F76" s="1" t="str">
        <f t="shared" si="13"/>
        <v>15</v>
      </c>
      <c r="G76" s="1" t="str">
        <f t="shared" si="14"/>
        <v>18</v>
      </c>
      <c r="H76" s="1" t="str">
        <f t="shared" si="15"/>
        <v>17</v>
      </c>
      <c r="I76" s="4">
        <v>0</v>
      </c>
      <c r="J76" s="9" t="s">
        <v>9</v>
      </c>
      <c r="K76" s="3" t="str">
        <f t="shared" si="17"/>
        <v>2019-03-30 15.18.17</v>
      </c>
      <c r="L76" s="6" t="str">
        <f t="shared" si="18"/>
        <v/>
      </c>
      <c r="M76" s="6" t="str">
        <f t="shared" si="19"/>
        <v>.jpg</v>
      </c>
      <c r="N76" s="2" t="str">
        <f t="shared" si="20"/>
        <v>2019-03-30 15.18.17.jpg</v>
      </c>
    </row>
    <row r="77" spans="1:14" x14ac:dyDescent="0.25">
      <c r="A77" s="6" t="s">
        <v>94</v>
      </c>
      <c r="B77" s="15" t="s">
        <v>101</v>
      </c>
      <c r="C77" s="1" t="str">
        <f t="shared" si="16"/>
        <v>2019</v>
      </c>
      <c r="D77" s="1" t="str">
        <f t="shared" si="11"/>
        <v>03</v>
      </c>
      <c r="E77" s="1" t="str">
        <f t="shared" si="12"/>
        <v>30</v>
      </c>
      <c r="F77" s="1" t="str">
        <f t="shared" si="13"/>
        <v>15</v>
      </c>
      <c r="G77" s="1" t="str">
        <f t="shared" si="14"/>
        <v>22</v>
      </c>
      <c r="H77" s="1" t="str">
        <f t="shared" si="15"/>
        <v>54</v>
      </c>
      <c r="I77" s="4">
        <v>0</v>
      </c>
      <c r="J77" s="9" t="s">
        <v>9</v>
      </c>
      <c r="K77" s="3" t="str">
        <f t="shared" si="17"/>
        <v>2019-03-30 15.22.54</v>
      </c>
      <c r="L77" s="6" t="str">
        <f t="shared" si="18"/>
        <v/>
      </c>
      <c r="M77" s="6" t="str">
        <f t="shared" si="19"/>
        <v>.jpg</v>
      </c>
      <c r="N77" s="2" t="str">
        <f t="shared" si="20"/>
        <v>2019-03-30 15.22.54.jpg</v>
      </c>
    </row>
    <row r="78" spans="1:14" x14ac:dyDescent="0.25">
      <c r="A78" s="6" t="s">
        <v>95</v>
      </c>
      <c r="B78" s="15" t="s">
        <v>101</v>
      </c>
      <c r="C78" s="1" t="str">
        <f t="shared" si="16"/>
        <v>2019</v>
      </c>
      <c r="D78" s="1" t="str">
        <f t="shared" si="11"/>
        <v>03</v>
      </c>
      <c r="E78" s="1" t="str">
        <f t="shared" si="12"/>
        <v>30</v>
      </c>
      <c r="F78" s="1" t="str">
        <f t="shared" si="13"/>
        <v>15</v>
      </c>
      <c r="G78" s="1" t="str">
        <f t="shared" si="14"/>
        <v>25</v>
      </c>
      <c r="H78" s="1" t="str">
        <f t="shared" si="15"/>
        <v>43</v>
      </c>
      <c r="I78" s="4">
        <v>0</v>
      </c>
      <c r="J78" s="9" t="s">
        <v>9</v>
      </c>
      <c r="K78" s="3" t="str">
        <f t="shared" si="17"/>
        <v>2019-03-30 15.25.43</v>
      </c>
      <c r="L78" s="6" t="str">
        <f t="shared" si="18"/>
        <v/>
      </c>
      <c r="M78" s="6" t="str">
        <f t="shared" si="19"/>
        <v>.jpg</v>
      </c>
      <c r="N78" s="2" t="str">
        <f t="shared" si="20"/>
        <v>2019-03-30 15.25.43.jpg</v>
      </c>
    </row>
    <row r="79" spans="1:14" x14ac:dyDescent="0.25">
      <c r="A79" s="6" t="s">
        <v>96</v>
      </c>
      <c r="B79" s="15" t="s">
        <v>101</v>
      </c>
      <c r="C79" s="1" t="str">
        <f t="shared" si="16"/>
        <v>2019</v>
      </c>
      <c r="D79" s="1" t="str">
        <f t="shared" si="11"/>
        <v>03</v>
      </c>
      <c r="E79" s="1" t="str">
        <f t="shared" si="12"/>
        <v>30</v>
      </c>
      <c r="F79" s="1" t="str">
        <f t="shared" si="13"/>
        <v>15</v>
      </c>
      <c r="G79" s="1" t="str">
        <f t="shared" si="14"/>
        <v>25</v>
      </c>
      <c r="H79" s="1" t="str">
        <f t="shared" si="15"/>
        <v>49</v>
      </c>
      <c r="I79" s="4">
        <v>0</v>
      </c>
      <c r="J79" s="9" t="s">
        <v>9</v>
      </c>
      <c r="K79" s="3" t="str">
        <f t="shared" si="17"/>
        <v>2019-03-30 15.25.49</v>
      </c>
      <c r="L79" s="6" t="str">
        <f t="shared" si="18"/>
        <v/>
      </c>
      <c r="M79" s="6" t="str">
        <f t="shared" si="19"/>
        <v>.jpg</v>
      </c>
      <c r="N79" s="2" t="str">
        <f t="shared" si="20"/>
        <v>2019-03-30 15.25.49.jpg</v>
      </c>
    </row>
    <row r="80" spans="1:14" x14ac:dyDescent="0.25">
      <c r="A80" s="6" t="s">
        <v>97</v>
      </c>
      <c r="B80" s="15" t="s">
        <v>101</v>
      </c>
      <c r="C80" s="1" t="str">
        <f t="shared" si="16"/>
        <v>2019</v>
      </c>
      <c r="D80" s="1" t="str">
        <f t="shared" si="11"/>
        <v>03</v>
      </c>
      <c r="E80" s="1" t="str">
        <f t="shared" si="12"/>
        <v>30</v>
      </c>
      <c r="F80" s="1" t="str">
        <f t="shared" si="13"/>
        <v>15</v>
      </c>
      <c r="G80" s="1" t="str">
        <f t="shared" si="14"/>
        <v>55</v>
      </c>
      <c r="H80" s="1" t="str">
        <f t="shared" si="15"/>
        <v>13</v>
      </c>
      <c r="I80" s="4">
        <v>0</v>
      </c>
      <c r="J80" s="9" t="s">
        <v>9</v>
      </c>
      <c r="K80" s="3" t="str">
        <f t="shared" si="17"/>
        <v>2019-03-30 15.55.13</v>
      </c>
      <c r="L80" s="6" t="str">
        <f t="shared" si="18"/>
        <v/>
      </c>
      <c r="M80" s="6" t="str">
        <f t="shared" si="19"/>
        <v>.jpg</v>
      </c>
      <c r="N80" s="2" t="str">
        <f t="shared" si="20"/>
        <v>2019-03-30 15.55.13.jpg</v>
      </c>
    </row>
    <row r="81" spans="1:14" x14ac:dyDescent="0.25">
      <c r="A81" s="6" t="s">
        <v>98</v>
      </c>
      <c r="B81" s="15" t="s">
        <v>101</v>
      </c>
      <c r="C81" s="1" t="str">
        <f t="shared" si="16"/>
        <v>2019</v>
      </c>
      <c r="D81" s="1" t="str">
        <f t="shared" si="11"/>
        <v>03</v>
      </c>
      <c r="E81" s="1" t="str">
        <f t="shared" si="12"/>
        <v>30</v>
      </c>
      <c r="F81" s="1" t="str">
        <f t="shared" si="13"/>
        <v>15</v>
      </c>
      <c r="G81" s="1" t="str">
        <f t="shared" si="14"/>
        <v>56</v>
      </c>
      <c r="H81" s="1" t="str">
        <f t="shared" si="15"/>
        <v>30</v>
      </c>
      <c r="I81" s="4">
        <v>0</v>
      </c>
      <c r="J81" s="9" t="s">
        <v>9</v>
      </c>
      <c r="K81" s="3" t="str">
        <f t="shared" si="17"/>
        <v>2019-03-30 15.56.30</v>
      </c>
      <c r="L81" s="6" t="str">
        <f t="shared" si="18"/>
        <v/>
      </c>
      <c r="M81" s="6" t="str">
        <f t="shared" si="19"/>
        <v>.jpg</v>
      </c>
      <c r="N81" s="2" t="str">
        <f t="shared" si="20"/>
        <v>2019-03-30 15.56.30.jpg</v>
      </c>
    </row>
    <row r="82" spans="1:14" x14ac:dyDescent="0.25">
      <c r="A82" s="6" t="s">
        <v>99</v>
      </c>
      <c r="B82" s="15" t="s">
        <v>101</v>
      </c>
      <c r="C82" s="1" t="str">
        <f t="shared" si="16"/>
        <v>2019</v>
      </c>
      <c r="D82" s="1" t="str">
        <f t="shared" si="11"/>
        <v>03</v>
      </c>
      <c r="E82" s="1" t="str">
        <f t="shared" si="12"/>
        <v>30</v>
      </c>
      <c r="F82" s="1" t="str">
        <f t="shared" si="13"/>
        <v>16</v>
      </c>
      <c r="G82" s="1" t="str">
        <f t="shared" si="14"/>
        <v>15</v>
      </c>
      <c r="H82" s="1" t="str">
        <f t="shared" si="15"/>
        <v>04</v>
      </c>
      <c r="I82" s="4">
        <v>0</v>
      </c>
      <c r="J82" s="9" t="s">
        <v>9</v>
      </c>
      <c r="K82" s="3" t="str">
        <f t="shared" si="17"/>
        <v>2019-03-30 16.15.04</v>
      </c>
      <c r="L82" s="6" t="str">
        <f t="shared" si="18"/>
        <v/>
      </c>
      <c r="M82" s="6" t="str">
        <f t="shared" si="19"/>
        <v>.jpg</v>
      </c>
      <c r="N82" s="2" t="str">
        <f t="shared" si="20"/>
        <v>2019-03-30 16.15.04.jpg</v>
      </c>
    </row>
    <row r="83" spans="1:14" x14ac:dyDescent="0.25">
      <c r="A83" s="6" t="s">
        <v>100</v>
      </c>
      <c r="B83" s="15" t="s">
        <v>101</v>
      </c>
      <c r="C83" s="1" t="str">
        <f t="shared" si="16"/>
        <v>2019</v>
      </c>
      <c r="D83" s="1" t="str">
        <f t="shared" si="11"/>
        <v>03</v>
      </c>
      <c r="E83" s="1" t="str">
        <f t="shared" si="12"/>
        <v>31</v>
      </c>
      <c r="F83" s="1" t="str">
        <f t="shared" si="13"/>
        <v>12</v>
      </c>
      <c r="G83" s="1" t="str">
        <f t="shared" si="14"/>
        <v>03</v>
      </c>
      <c r="H83" s="1" t="str">
        <f t="shared" si="15"/>
        <v>41</v>
      </c>
      <c r="I83" s="4">
        <v>0</v>
      </c>
      <c r="J83" s="9" t="s">
        <v>9</v>
      </c>
      <c r="K83" s="3" t="str">
        <f t="shared" si="17"/>
        <v>2019-03-31 12.03.41</v>
      </c>
      <c r="L83" s="6" t="str">
        <f t="shared" si="18"/>
        <v/>
      </c>
      <c r="M83" s="6" t="str">
        <f t="shared" si="19"/>
        <v>.mp4</v>
      </c>
      <c r="N83" s="2" t="str">
        <f t="shared" si="20"/>
        <v>2019-03-31 12.03.41.mp4</v>
      </c>
    </row>
    <row r="84" spans="1:14" x14ac:dyDescent="0.25">
      <c r="C84" s="1"/>
      <c r="D84" s="1"/>
      <c r="E84" s="1"/>
      <c r="F84" s="1"/>
      <c r="G84" s="1"/>
      <c r="H84" s="1"/>
      <c r="I84" s="4"/>
      <c r="J84" s="9"/>
      <c r="K84" s="3"/>
      <c r="N84" s="2"/>
    </row>
    <row r="85" spans="1:14" x14ac:dyDescent="0.25">
      <c r="C85" s="1"/>
      <c r="D85" s="1"/>
      <c r="E85" s="1"/>
      <c r="F85" s="1"/>
      <c r="G85" s="1"/>
      <c r="H85" s="1"/>
      <c r="I85" s="4"/>
      <c r="J85" s="9"/>
      <c r="K85" s="3"/>
      <c r="N85" s="2"/>
    </row>
    <row r="86" spans="1:14" x14ac:dyDescent="0.25">
      <c r="C86" s="1"/>
      <c r="D86" s="1"/>
      <c r="E86" s="1"/>
      <c r="F86" s="1"/>
      <c r="G86" s="1"/>
      <c r="H86" s="1"/>
      <c r="I86" s="4"/>
      <c r="J86" s="9"/>
      <c r="K86" s="3"/>
      <c r="N86" s="2"/>
    </row>
    <row r="87" spans="1:14" x14ac:dyDescent="0.25">
      <c r="C87" s="1"/>
      <c r="D87" s="1"/>
      <c r="E87" s="1"/>
      <c r="F87" s="1"/>
      <c r="G87" s="1"/>
      <c r="H87" s="1"/>
      <c r="I87" s="4"/>
      <c r="J87" s="9"/>
      <c r="K87" s="3"/>
      <c r="N87" s="2"/>
    </row>
    <row r="88" spans="1:14" x14ac:dyDescent="0.25">
      <c r="C88" s="1"/>
      <c r="D88" s="1"/>
      <c r="E88" s="1"/>
      <c r="F88" s="1"/>
      <c r="G88" s="1"/>
      <c r="H88" s="1"/>
      <c r="I88" s="4"/>
      <c r="J88" s="9"/>
      <c r="K88" s="3"/>
      <c r="N88" s="2"/>
    </row>
    <row r="89" spans="1:14" x14ac:dyDescent="0.25">
      <c r="C89" s="1"/>
      <c r="D89" s="1"/>
      <c r="E89" s="1"/>
      <c r="F89" s="1"/>
      <c r="G89" s="1"/>
      <c r="H89" s="1"/>
      <c r="I89" s="4"/>
      <c r="J89" s="9"/>
      <c r="K89" s="3"/>
      <c r="N89" s="2"/>
    </row>
    <row r="90" spans="1:14" x14ac:dyDescent="0.25">
      <c r="C90" s="1"/>
      <c r="D90" s="1"/>
      <c r="E90" s="1"/>
      <c r="F90" s="1"/>
      <c r="G90" s="1"/>
      <c r="H90" s="1"/>
      <c r="I90" s="4"/>
      <c r="J90" s="9"/>
      <c r="K90" s="3"/>
      <c r="N90" s="2"/>
    </row>
    <row r="91" spans="1:14" x14ac:dyDescent="0.25">
      <c r="C91" s="1"/>
      <c r="D91" s="1"/>
      <c r="E91" s="1"/>
      <c r="F91" s="1"/>
      <c r="G91" s="1"/>
      <c r="H91" s="1"/>
      <c r="I91" s="4"/>
      <c r="J91" s="9"/>
      <c r="K91" s="3"/>
      <c r="N91" s="2"/>
    </row>
    <row r="92" spans="1:14" x14ac:dyDescent="0.25">
      <c r="C92" s="1"/>
      <c r="D92" s="1"/>
      <c r="E92" s="1"/>
      <c r="F92" s="1"/>
      <c r="G92" s="1"/>
      <c r="H92" s="1"/>
      <c r="I92" s="4"/>
      <c r="J92" s="9"/>
      <c r="K92" s="3"/>
      <c r="N92" s="2"/>
    </row>
    <row r="93" spans="1:14" x14ac:dyDescent="0.25">
      <c r="C93" s="1"/>
      <c r="D93" s="1"/>
      <c r="E93" s="1"/>
      <c r="F93" s="1"/>
      <c r="G93" s="1"/>
      <c r="H93" s="1"/>
      <c r="I93" s="4"/>
      <c r="J93" s="9"/>
      <c r="K93" s="3"/>
      <c r="N93" s="2"/>
    </row>
    <row r="94" spans="1:14" x14ac:dyDescent="0.25">
      <c r="C94" s="1"/>
      <c r="D94" s="1"/>
      <c r="E94" s="1"/>
      <c r="F94" s="1"/>
      <c r="G94" s="1"/>
      <c r="H94" s="1"/>
      <c r="I94" s="4"/>
      <c r="J94" s="9"/>
      <c r="K94" s="3"/>
      <c r="N94" s="2"/>
    </row>
    <row r="95" spans="1:14" x14ac:dyDescent="0.25">
      <c r="C95" s="1"/>
      <c r="D95" s="1"/>
      <c r="E95" s="1"/>
      <c r="F95" s="1"/>
      <c r="G95" s="1"/>
      <c r="H95" s="1"/>
      <c r="I95" s="4"/>
      <c r="J95" s="9"/>
      <c r="K95" s="3"/>
      <c r="N95" s="2"/>
    </row>
    <row r="96" spans="1:14" x14ac:dyDescent="0.25">
      <c r="C96" s="1"/>
      <c r="D96" s="1"/>
      <c r="E96" s="1"/>
      <c r="F96" s="1"/>
      <c r="G96" s="1"/>
      <c r="H96" s="1"/>
      <c r="I96" s="4"/>
      <c r="J96" s="9"/>
      <c r="K96" s="3"/>
      <c r="N96" s="2"/>
    </row>
    <row r="97" spans="3:14" x14ac:dyDescent="0.25">
      <c r="C97" s="1"/>
      <c r="D97" s="1"/>
      <c r="E97" s="1"/>
      <c r="F97" s="1"/>
      <c r="G97" s="1"/>
      <c r="H97" s="1"/>
      <c r="I97" s="4"/>
      <c r="J97" s="9"/>
      <c r="K97" s="3"/>
      <c r="N97" s="2"/>
    </row>
    <row r="98" spans="3:14" x14ac:dyDescent="0.25">
      <c r="C98" s="1"/>
      <c r="D98" s="1"/>
      <c r="E98" s="1"/>
      <c r="F98" s="1"/>
      <c r="G98" s="1"/>
      <c r="H98" s="1"/>
      <c r="I98" s="4"/>
      <c r="J98" s="9"/>
      <c r="K98" s="3"/>
      <c r="N98" s="2"/>
    </row>
    <row r="99" spans="3:14" x14ac:dyDescent="0.25">
      <c r="C99" s="1"/>
      <c r="D99" s="1"/>
      <c r="E99" s="1"/>
      <c r="F99" s="1"/>
      <c r="G99" s="1"/>
      <c r="H99" s="1"/>
      <c r="I99" s="4"/>
      <c r="J99" s="9"/>
      <c r="K99" s="3"/>
      <c r="N99" s="2"/>
    </row>
    <row r="100" spans="3:14" x14ac:dyDescent="0.25">
      <c r="C100" s="1"/>
      <c r="D100" s="1"/>
      <c r="E100" s="1"/>
      <c r="F100" s="1"/>
      <c r="G100" s="1"/>
      <c r="H100" s="1"/>
      <c r="I100" s="4"/>
      <c r="J100" s="9"/>
      <c r="K100" s="3"/>
      <c r="N100" s="2"/>
    </row>
    <row r="101" spans="3:14" x14ac:dyDescent="0.25">
      <c r="C101" s="1"/>
      <c r="D101" s="1"/>
      <c r="E101" s="1"/>
      <c r="F101" s="1"/>
      <c r="G101" s="1"/>
      <c r="H101" s="1"/>
      <c r="I101" s="4"/>
      <c r="J101" s="9"/>
      <c r="K101" s="3"/>
      <c r="N101" s="2"/>
    </row>
    <row r="102" spans="3:14" x14ac:dyDescent="0.25">
      <c r="C102" s="1"/>
      <c r="D102" s="1"/>
      <c r="E102" s="1"/>
      <c r="F102" s="1"/>
      <c r="G102" s="1"/>
      <c r="H102" s="1"/>
      <c r="I102" s="4"/>
      <c r="J102" s="9"/>
      <c r="K102" s="3"/>
      <c r="N102" s="2"/>
    </row>
    <row r="103" spans="3:14" x14ac:dyDescent="0.25">
      <c r="C103" s="1"/>
      <c r="D103" s="1"/>
      <c r="E103" s="1"/>
      <c r="F103" s="1"/>
      <c r="G103" s="1"/>
      <c r="H103" s="1"/>
      <c r="I103" s="4"/>
      <c r="J103" s="9"/>
      <c r="K103" s="3"/>
      <c r="N103" s="2"/>
    </row>
    <row r="104" spans="3:14" x14ac:dyDescent="0.25">
      <c r="C104" s="1"/>
      <c r="D104" s="1"/>
      <c r="E104" s="1"/>
      <c r="F104" s="1"/>
      <c r="G104" s="1"/>
      <c r="H104" s="1"/>
      <c r="I104" s="4"/>
      <c r="J104" s="9"/>
      <c r="K104" s="3"/>
      <c r="N104" s="2"/>
    </row>
    <row r="105" spans="3:14" x14ac:dyDescent="0.25">
      <c r="C105" s="1"/>
      <c r="D105" s="1"/>
      <c r="E105" s="1"/>
      <c r="F105" s="1"/>
      <c r="G105" s="1"/>
      <c r="H105" s="1"/>
      <c r="I105" s="4"/>
      <c r="J105" s="9"/>
      <c r="K105" s="3"/>
      <c r="N105" s="2"/>
    </row>
    <row r="106" spans="3:14" x14ac:dyDescent="0.25">
      <c r="C106" s="1"/>
      <c r="D106" s="1"/>
      <c r="E106" s="1"/>
      <c r="F106" s="1"/>
      <c r="G106" s="1"/>
      <c r="H106" s="1"/>
      <c r="I106" s="4"/>
      <c r="J106" s="9"/>
      <c r="K106" s="3"/>
      <c r="N106" s="2"/>
    </row>
    <row r="107" spans="3:14" x14ac:dyDescent="0.25">
      <c r="C107" s="1"/>
      <c r="D107" s="1"/>
      <c r="E107" s="1"/>
      <c r="F107" s="1"/>
      <c r="G107" s="1"/>
      <c r="H107" s="1"/>
      <c r="I107" s="4"/>
      <c r="J107" s="9"/>
      <c r="K107" s="3"/>
      <c r="N107" s="2"/>
    </row>
    <row r="108" spans="3:14" x14ac:dyDescent="0.25">
      <c r="C108" s="1"/>
      <c r="D108" s="1"/>
      <c r="E108" s="1"/>
      <c r="F108" s="1"/>
      <c r="G108" s="1"/>
      <c r="H108" s="1"/>
      <c r="I108" s="4"/>
      <c r="J108" s="9"/>
      <c r="K108" s="3"/>
      <c r="N108" s="2"/>
    </row>
    <row r="109" spans="3:14" x14ac:dyDescent="0.25">
      <c r="C109" s="1"/>
      <c r="D109" s="1"/>
      <c r="E109" s="1"/>
      <c r="F109" s="1"/>
      <c r="G109" s="1"/>
      <c r="H109" s="1"/>
      <c r="I109" s="4"/>
      <c r="J109" s="9"/>
      <c r="K109" s="3"/>
      <c r="N109" s="2"/>
    </row>
    <row r="110" spans="3:14" x14ac:dyDescent="0.25">
      <c r="C110" s="1"/>
      <c r="D110" s="1"/>
      <c r="E110" s="1"/>
      <c r="F110" s="1"/>
      <c r="G110" s="1"/>
      <c r="H110" s="1"/>
      <c r="I110" s="4"/>
      <c r="J110" s="9"/>
      <c r="K110" s="3"/>
      <c r="N110" s="2"/>
    </row>
    <row r="111" spans="3:14" x14ac:dyDescent="0.25">
      <c r="C111" s="1"/>
      <c r="D111" s="1"/>
      <c r="E111" s="1"/>
      <c r="F111" s="1"/>
      <c r="G111" s="1"/>
      <c r="H111" s="1"/>
      <c r="I111" s="4"/>
      <c r="J111" s="9"/>
      <c r="K111" s="3"/>
      <c r="N111" s="2"/>
    </row>
    <row r="112" spans="3:14" x14ac:dyDescent="0.25">
      <c r="C112" s="1"/>
      <c r="D112" s="1"/>
      <c r="E112" s="1"/>
      <c r="F112" s="1"/>
      <c r="G112" s="1"/>
      <c r="H112" s="1"/>
      <c r="I112" s="4"/>
      <c r="J112" s="9"/>
      <c r="K112" s="3"/>
      <c r="N112" s="2"/>
    </row>
    <row r="113" spans="3:14" x14ac:dyDescent="0.25">
      <c r="C113" s="1"/>
      <c r="D113" s="1"/>
      <c r="E113" s="1"/>
      <c r="F113" s="1"/>
      <c r="G113" s="1"/>
      <c r="H113" s="1"/>
      <c r="I113" s="4"/>
      <c r="J113" s="9"/>
      <c r="K113" s="3"/>
      <c r="N113" s="2"/>
    </row>
    <row r="114" spans="3:14" x14ac:dyDescent="0.25">
      <c r="C114" s="1"/>
      <c r="D114" s="1"/>
      <c r="E114" s="1"/>
      <c r="F114" s="1"/>
      <c r="G114" s="1"/>
      <c r="H114" s="1"/>
      <c r="I114" s="4"/>
      <c r="J114" s="9"/>
      <c r="K114" s="3"/>
      <c r="N114" s="2"/>
    </row>
    <row r="115" spans="3:14" x14ac:dyDescent="0.25">
      <c r="C115" s="1"/>
      <c r="D115" s="1"/>
      <c r="E115" s="1"/>
      <c r="F115" s="1"/>
      <c r="G115" s="1"/>
      <c r="H115" s="1"/>
      <c r="I115" s="4"/>
      <c r="J115" s="9"/>
      <c r="K115" s="3"/>
      <c r="N115" s="2"/>
    </row>
    <row r="116" spans="3:14" x14ac:dyDescent="0.25">
      <c r="C116" s="1"/>
      <c r="D116" s="1"/>
      <c r="E116" s="1"/>
      <c r="F116" s="1"/>
      <c r="G116" s="1"/>
      <c r="H116" s="1"/>
      <c r="I116" s="4"/>
      <c r="J116" s="9"/>
      <c r="K116" s="3"/>
      <c r="N116" s="2"/>
    </row>
    <row r="117" spans="3:14" x14ac:dyDescent="0.25">
      <c r="C117" s="1"/>
      <c r="D117" s="1"/>
      <c r="E117" s="1"/>
      <c r="F117" s="1"/>
      <c r="G117" s="1"/>
      <c r="H117" s="1"/>
      <c r="I117" s="4"/>
      <c r="J117" s="9"/>
      <c r="K117" s="3"/>
      <c r="N117" s="2"/>
    </row>
    <row r="118" spans="3:14" x14ac:dyDescent="0.25">
      <c r="C118" s="1"/>
      <c r="D118" s="1"/>
      <c r="E118" s="1"/>
      <c r="F118" s="1"/>
      <c r="G118" s="1"/>
      <c r="H118" s="1"/>
      <c r="I118" s="4"/>
      <c r="J118" s="9"/>
      <c r="K118" s="3"/>
      <c r="N118" s="2"/>
    </row>
    <row r="119" spans="3:14" x14ac:dyDescent="0.25">
      <c r="C119" s="1"/>
      <c r="D119" s="1"/>
      <c r="E119" s="1"/>
      <c r="F119" s="1"/>
      <c r="G119" s="1"/>
      <c r="H119" s="1"/>
      <c r="I119" s="4"/>
      <c r="J119" s="9"/>
      <c r="K119" s="3"/>
      <c r="N119" s="2"/>
    </row>
    <row r="120" spans="3:14" x14ac:dyDescent="0.25">
      <c r="C120" s="1"/>
      <c r="D120" s="1"/>
      <c r="E120" s="1"/>
      <c r="F120" s="1"/>
      <c r="G120" s="1"/>
      <c r="H120" s="1"/>
      <c r="I120" s="4"/>
      <c r="J120" s="9"/>
      <c r="K120" s="3"/>
      <c r="N120" s="2"/>
    </row>
    <row r="121" spans="3:14" x14ac:dyDescent="0.25">
      <c r="C121" s="1"/>
      <c r="D121" s="1"/>
      <c r="E121" s="1"/>
      <c r="F121" s="1"/>
      <c r="G121" s="1"/>
      <c r="H121" s="1"/>
      <c r="I121" s="4"/>
      <c r="J121" s="9"/>
      <c r="K121" s="3"/>
      <c r="N121" s="2"/>
    </row>
    <row r="122" spans="3:14" x14ac:dyDescent="0.25">
      <c r="C122" s="1"/>
      <c r="D122" s="1"/>
      <c r="E122" s="1"/>
      <c r="F122" s="1"/>
      <c r="G122" s="1"/>
      <c r="H122" s="1"/>
      <c r="I122" s="4"/>
      <c r="J122" s="9"/>
      <c r="K122" s="3"/>
      <c r="N122" s="2"/>
    </row>
    <row r="123" spans="3:14" x14ac:dyDescent="0.25">
      <c r="C123" s="1"/>
      <c r="D123" s="1"/>
      <c r="E123" s="1"/>
      <c r="F123" s="1"/>
      <c r="G123" s="1"/>
      <c r="H123" s="1"/>
      <c r="I123" s="4"/>
      <c r="J123" s="9"/>
      <c r="K123" s="3"/>
      <c r="N123" s="2"/>
    </row>
    <row r="124" spans="3:14" x14ac:dyDescent="0.25">
      <c r="C124" s="1"/>
      <c r="D124" s="1"/>
      <c r="E124" s="1"/>
      <c r="F124" s="1"/>
      <c r="G124" s="1"/>
      <c r="H124" s="1"/>
      <c r="I124" s="4"/>
      <c r="J124" s="9"/>
      <c r="K124" s="3"/>
      <c r="N124" s="2"/>
    </row>
    <row r="125" spans="3:14" x14ac:dyDescent="0.25">
      <c r="C125" s="1"/>
      <c r="D125" s="1"/>
      <c r="E125" s="1"/>
      <c r="F125" s="1"/>
      <c r="G125" s="1"/>
      <c r="H125" s="1"/>
      <c r="I125" s="4"/>
      <c r="J125" s="9"/>
      <c r="K125" s="3"/>
      <c r="N125" s="2"/>
    </row>
    <row r="126" spans="3:14" x14ac:dyDescent="0.25">
      <c r="C126" s="1"/>
      <c r="D126" s="1"/>
      <c r="E126" s="1"/>
      <c r="F126" s="1"/>
      <c r="G126" s="1"/>
      <c r="H126" s="1"/>
      <c r="I126" s="4"/>
      <c r="J126" s="9"/>
      <c r="K126" s="3"/>
      <c r="N126" s="2"/>
    </row>
    <row r="127" spans="3:14" x14ac:dyDescent="0.25">
      <c r="C127" s="1"/>
      <c r="D127" s="1"/>
      <c r="E127" s="1"/>
      <c r="F127" s="1"/>
      <c r="G127" s="1"/>
      <c r="H127" s="1"/>
      <c r="I127" s="4"/>
      <c r="J127" s="9"/>
      <c r="K127" s="3"/>
      <c r="N127" s="2"/>
    </row>
    <row r="128" spans="3:14" x14ac:dyDescent="0.25">
      <c r="C128" s="1"/>
      <c r="D128" s="1"/>
      <c r="E128" s="1"/>
      <c r="F128" s="1"/>
      <c r="G128" s="1"/>
      <c r="H128" s="1"/>
      <c r="I128" s="4"/>
      <c r="J128" s="9"/>
      <c r="K128" s="3"/>
      <c r="N128" s="2"/>
    </row>
    <row r="129" spans="3:14" x14ac:dyDescent="0.25">
      <c r="C129" s="1"/>
      <c r="D129" s="1"/>
      <c r="E129" s="1"/>
      <c r="F129" s="1"/>
      <c r="G129" s="1"/>
      <c r="H129" s="1"/>
      <c r="I129" s="4"/>
      <c r="J129" s="9"/>
      <c r="K129" s="3"/>
      <c r="N129" s="2"/>
    </row>
    <row r="130" spans="3:14" x14ac:dyDescent="0.25">
      <c r="C130" s="1"/>
      <c r="D130" s="1"/>
      <c r="E130" s="1"/>
      <c r="F130" s="1"/>
      <c r="G130" s="1"/>
      <c r="H130" s="1"/>
      <c r="I130" s="4"/>
      <c r="J130" s="9"/>
      <c r="K130" s="3"/>
      <c r="N130" s="2"/>
    </row>
    <row r="131" spans="3:14" x14ac:dyDescent="0.25">
      <c r="C131" s="1"/>
      <c r="D131" s="1"/>
      <c r="E131" s="1"/>
      <c r="F131" s="1"/>
      <c r="G131" s="1"/>
      <c r="H131" s="1"/>
      <c r="I131" s="4"/>
      <c r="J131" s="9"/>
      <c r="K131" s="3"/>
      <c r="N131" s="2"/>
    </row>
    <row r="132" spans="3:14" x14ac:dyDescent="0.25">
      <c r="C132" s="1"/>
      <c r="D132" s="1"/>
      <c r="E132" s="1"/>
      <c r="F132" s="1"/>
      <c r="G132" s="1"/>
      <c r="H132" s="1"/>
      <c r="I132" s="4"/>
      <c r="J132" s="9"/>
      <c r="K132" s="3"/>
      <c r="N132" s="2"/>
    </row>
    <row r="133" spans="3:14" x14ac:dyDescent="0.25">
      <c r="C133" s="1"/>
      <c r="D133" s="1"/>
      <c r="E133" s="1"/>
      <c r="F133" s="1"/>
      <c r="G133" s="1"/>
      <c r="H133" s="1"/>
      <c r="I133" s="4"/>
      <c r="J133" s="9"/>
      <c r="K133" s="3"/>
      <c r="N133" s="2"/>
    </row>
    <row r="134" spans="3:14" x14ac:dyDescent="0.25">
      <c r="C134" s="1"/>
      <c r="D134" s="1"/>
      <c r="E134" s="1"/>
      <c r="F134" s="1"/>
      <c r="G134" s="1"/>
      <c r="H134" s="1"/>
      <c r="I134" s="4"/>
      <c r="J134" s="9"/>
      <c r="K134" s="3"/>
      <c r="N134" s="2"/>
    </row>
    <row r="135" spans="3:14" x14ac:dyDescent="0.25">
      <c r="C135" s="1"/>
      <c r="D135" s="1"/>
      <c r="E135" s="1"/>
      <c r="F135" s="1"/>
      <c r="G135" s="1"/>
      <c r="H135" s="1"/>
      <c r="I135" s="4"/>
      <c r="J135" s="9"/>
      <c r="K135" s="3"/>
      <c r="N135" s="2"/>
    </row>
    <row r="136" spans="3:14" x14ac:dyDescent="0.25">
      <c r="C136" s="1"/>
      <c r="D136" s="1"/>
      <c r="E136" s="1"/>
      <c r="F136" s="1"/>
      <c r="G136" s="1"/>
      <c r="H136" s="1"/>
      <c r="I136" s="4"/>
      <c r="J136" s="9"/>
      <c r="K136" s="3"/>
      <c r="N136" s="2"/>
    </row>
    <row r="137" spans="3:14" x14ac:dyDescent="0.25">
      <c r="C137" s="1"/>
      <c r="D137" s="1"/>
      <c r="E137" s="1"/>
      <c r="F137" s="1"/>
      <c r="G137" s="1"/>
      <c r="H137" s="1"/>
      <c r="I137" s="4"/>
      <c r="J137" s="9"/>
      <c r="K137" s="3"/>
      <c r="N137" s="2"/>
    </row>
    <row r="138" spans="3:14" x14ac:dyDescent="0.25">
      <c r="C138" s="1"/>
      <c r="D138" s="1"/>
      <c r="E138" s="1"/>
      <c r="F138" s="1"/>
      <c r="G138" s="1"/>
      <c r="H138" s="1"/>
      <c r="I138" s="4"/>
      <c r="J138" s="9"/>
      <c r="K138" s="3"/>
      <c r="N138" s="2"/>
    </row>
    <row r="139" spans="3:14" x14ac:dyDescent="0.25">
      <c r="C139" s="1"/>
      <c r="D139" s="1"/>
      <c r="E139" s="1"/>
      <c r="F139" s="1"/>
      <c r="G139" s="1"/>
      <c r="H139" s="1"/>
      <c r="I139" s="4"/>
      <c r="J139" s="9"/>
      <c r="K139" s="3"/>
      <c r="N139" s="2"/>
    </row>
    <row r="140" spans="3:14" x14ac:dyDescent="0.25">
      <c r="C140" s="1"/>
      <c r="D140" s="1"/>
      <c r="E140" s="1"/>
      <c r="F140" s="1"/>
      <c r="G140" s="1"/>
      <c r="H140" s="1"/>
      <c r="I140" s="4"/>
      <c r="J140" s="9"/>
      <c r="K140" s="3"/>
      <c r="N140" s="2"/>
    </row>
    <row r="141" spans="3:14" x14ac:dyDescent="0.25">
      <c r="C141" s="1"/>
      <c r="D141" s="1"/>
      <c r="E141" s="1"/>
      <c r="F141" s="1"/>
      <c r="G141" s="1"/>
      <c r="H141" s="1"/>
      <c r="I141" s="4"/>
      <c r="J141" s="9"/>
      <c r="K141" s="3"/>
      <c r="N141" s="2"/>
    </row>
    <row r="142" spans="3:14" x14ac:dyDescent="0.25">
      <c r="C142" s="1"/>
      <c r="D142" s="1"/>
      <c r="E142" s="1"/>
      <c r="F142" s="1"/>
      <c r="G142" s="1"/>
      <c r="H142" s="1"/>
      <c r="I142" s="4"/>
      <c r="J142" s="9"/>
      <c r="K142" s="3"/>
      <c r="N142" s="2"/>
    </row>
    <row r="143" spans="3:14" x14ac:dyDescent="0.25">
      <c r="C143" s="1"/>
      <c r="D143" s="1"/>
      <c r="E143" s="1"/>
      <c r="F143" s="1"/>
      <c r="G143" s="1"/>
      <c r="H143" s="1"/>
      <c r="I143" s="4"/>
      <c r="J143" s="9"/>
      <c r="K143" s="3"/>
      <c r="N143" s="2"/>
    </row>
    <row r="144" spans="3:14" x14ac:dyDescent="0.25">
      <c r="C144" s="1"/>
      <c r="D144" s="1"/>
      <c r="E144" s="1"/>
      <c r="F144" s="1"/>
      <c r="G144" s="1"/>
      <c r="H144" s="1"/>
      <c r="I144" s="4"/>
      <c r="J144" s="9"/>
      <c r="K144" s="3"/>
      <c r="N144" s="2"/>
    </row>
    <row r="145" spans="3:14" x14ac:dyDescent="0.25">
      <c r="C145" s="1"/>
      <c r="D145" s="1"/>
      <c r="E145" s="1"/>
      <c r="F145" s="1"/>
      <c r="G145" s="1"/>
      <c r="H145" s="1"/>
      <c r="I145" s="4"/>
      <c r="J145" s="9"/>
      <c r="K145" s="3"/>
      <c r="N145" s="2"/>
    </row>
    <row r="146" spans="3:14" x14ac:dyDescent="0.25">
      <c r="C146" s="1"/>
      <c r="D146" s="1"/>
      <c r="E146" s="1"/>
      <c r="F146" s="1"/>
      <c r="G146" s="1"/>
      <c r="H146" s="1"/>
      <c r="I146" s="4"/>
      <c r="J146" s="9"/>
      <c r="K146" s="3"/>
      <c r="N146" s="2"/>
    </row>
    <row r="147" spans="3:14" x14ac:dyDescent="0.25">
      <c r="C147" s="1"/>
      <c r="D147" s="1"/>
      <c r="E147" s="1"/>
      <c r="F147" s="1"/>
      <c r="G147" s="1"/>
      <c r="H147" s="1"/>
      <c r="I147" s="4"/>
      <c r="J147" s="9"/>
      <c r="K147" s="3"/>
      <c r="N147" s="2"/>
    </row>
    <row r="148" spans="3:14" x14ac:dyDescent="0.25">
      <c r="C148" s="1"/>
      <c r="D148" s="1"/>
      <c r="E148" s="1"/>
      <c r="F148" s="1"/>
      <c r="G148" s="1"/>
      <c r="H148" s="1"/>
      <c r="I148" s="4"/>
      <c r="J148" s="9"/>
      <c r="K148" s="3"/>
      <c r="N148" s="2"/>
    </row>
    <row r="149" spans="3:14" x14ac:dyDescent="0.25">
      <c r="C149" s="1"/>
      <c r="D149" s="1"/>
      <c r="E149" s="1"/>
      <c r="F149" s="1"/>
      <c r="G149" s="1"/>
      <c r="H149" s="1"/>
      <c r="I149" s="4"/>
      <c r="J149" s="9"/>
      <c r="K149" s="3"/>
      <c r="N149" s="2"/>
    </row>
    <row r="150" spans="3:14" x14ac:dyDescent="0.25">
      <c r="C150" s="1"/>
      <c r="D150" s="1"/>
      <c r="E150" s="1"/>
      <c r="F150" s="1"/>
      <c r="G150" s="1"/>
      <c r="H150" s="1"/>
      <c r="I150" s="4"/>
      <c r="J150" s="9"/>
      <c r="K150" s="3"/>
      <c r="N150" s="2"/>
    </row>
    <row r="151" spans="3:14" x14ac:dyDescent="0.25">
      <c r="C151" s="1"/>
      <c r="D151" s="1"/>
      <c r="E151" s="1"/>
      <c r="F151" s="1"/>
      <c r="G151" s="1"/>
      <c r="H151" s="1"/>
      <c r="I151" s="4"/>
      <c r="J151" s="9"/>
      <c r="K151" s="3"/>
      <c r="N151" s="2"/>
    </row>
    <row r="152" spans="3:14" x14ac:dyDescent="0.25">
      <c r="C152" s="1"/>
      <c r="D152" s="1"/>
      <c r="E152" s="1"/>
      <c r="F152" s="1"/>
      <c r="G152" s="1"/>
      <c r="H152" s="1"/>
      <c r="I152" s="4"/>
      <c r="J152" s="9"/>
      <c r="K152" s="3"/>
      <c r="N152" s="2"/>
    </row>
    <row r="153" spans="3:14" x14ac:dyDescent="0.25">
      <c r="C153" s="1"/>
      <c r="D153" s="1"/>
      <c r="E153" s="1"/>
      <c r="F153" s="1"/>
      <c r="G153" s="1"/>
      <c r="H153" s="1"/>
      <c r="I153" s="4"/>
      <c r="J153" s="9"/>
      <c r="K153" s="3"/>
      <c r="N153" s="2"/>
    </row>
    <row r="154" spans="3:14" x14ac:dyDescent="0.25">
      <c r="C154" s="1"/>
      <c r="D154" s="1"/>
      <c r="E154" s="1"/>
      <c r="F154" s="1"/>
      <c r="G154" s="1"/>
      <c r="H154" s="1"/>
      <c r="I154" s="4"/>
      <c r="J154" s="9"/>
      <c r="K154" s="3"/>
      <c r="N154" s="2"/>
    </row>
    <row r="155" spans="3:14" x14ac:dyDescent="0.25">
      <c r="C155" s="1"/>
      <c r="D155" s="1"/>
      <c r="E155" s="1"/>
      <c r="F155" s="1"/>
      <c r="G155" s="1"/>
      <c r="H155" s="1"/>
      <c r="I155" s="4"/>
      <c r="J155" s="9"/>
      <c r="K155" s="3"/>
      <c r="N155" s="2"/>
    </row>
    <row r="156" spans="3:14" x14ac:dyDescent="0.25">
      <c r="C156" s="1"/>
      <c r="D156" s="1"/>
      <c r="E156" s="1"/>
      <c r="F156" s="1"/>
      <c r="G156" s="1"/>
      <c r="H156" s="1"/>
      <c r="I156" s="4"/>
      <c r="J156" s="9"/>
      <c r="K156" s="3"/>
      <c r="N156" s="2"/>
    </row>
    <row r="157" spans="3:14" x14ac:dyDescent="0.25">
      <c r="C157" s="1"/>
      <c r="D157" s="1"/>
      <c r="E157" s="1"/>
      <c r="F157" s="1"/>
      <c r="G157" s="1"/>
      <c r="H157" s="1"/>
      <c r="I157" s="4"/>
      <c r="J157" s="9"/>
      <c r="K157" s="3"/>
      <c r="N157" s="2"/>
    </row>
    <row r="158" spans="3:14" x14ac:dyDescent="0.25">
      <c r="C158" s="1"/>
      <c r="D158" s="1"/>
      <c r="E158" s="1"/>
      <c r="F158" s="1"/>
      <c r="G158" s="1"/>
      <c r="H158" s="1"/>
      <c r="I158" s="4"/>
      <c r="J158" s="9"/>
      <c r="K158" s="3"/>
      <c r="N158" s="2"/>
    </row>
    <row r="159" spans="3:14" x14ac:dyDescent="0.25">
      <c r="C159" s="1"/>
      <c r="D159" s="1"/>
      <c r="E159" s="1"/>
      <c r="F159" s="1"/>
      <c r="G159" s="1"/>
      <c r="H159" s="1"/>
      <c r="I159" s="4"/>
      <c r="J159" s="9"/>
      <c r="K159" s="3"/>
      <c r="N159" s="2"/>
    </row>
    <row r="160" spans="3:14" x14ac:dyDescent="0.25">
      <c r="C160" s="1"/>
      <c r="D160" s="1"/>
      <c r="E160" s="1"/>
      <c r="F160" s="1"/>
      <c r="G160" s="1"/>
      <c r="H160" s="1"/>
      <c r="I160" s="4"/>
      <c r="J160" s="9"/>
      <c r="K160" s="3"/>
      <c r="N160" s="2"/>
    </row>
    <row r="161" spans="3:14" x14ac:dyDescent="0.25">
      <c r="C161" s="1"/>
      <c r="D161" s="1"/>
      <c r="E161" s="1"/>
      <c r="F161" s="1"/>
      <c r="G161" s="1"/>
      <c r="H161" s="1"/>
      <c r="I161" s="4"/>
      <c r="J161" s="9"/>
      <c r="K161" s="3"/>
      <c r="N161" s="2"/>
    </row>
    <row r="162" spans="3:14" x14ac:dyDescent="0.25">
      <c r="C162" s="1"/>
      <c r="D162" s="1"/>
      <c r="E162" s="1"/>
      <c r="F162" s="1"/>
      <c r="G162" s="1"/>
      <c r="H162" s="1"/>
      <c r="I162" s="4"/>
      <c r="J162" s="9"/>
      <c r="K162" s="3"/>
      <c r="N162" s="2"/>
    </row>
    <row r="163" spans="3:14" x14ac:dyDescent="0.25">
      <c r="C163" s="1"/>
      <c r="D163" s="1"/>
      <c r="E163" s="1"/>
      <c r="F163" s="1"/>
      <c r="G163" s="1"/>
      <c r="H163" s="1"/>
      <c r="I163" s="4"/>
      <c r="J163" s="9"/>
      <c r="K163" s="3"/>
      <c r="N163" s="2"/>
    </row>
    <row r="164" spans="3:14" x14ac:dyDescent="0.25">
      <c r="C164" s="1"/>
      <c r="D164" s="1"/>
      <c r="E164" s="1"/>
      <c r="F164" s="1"/>
      <c r="G164" s="1"/>
      <c r="H164" s="1"/>
      <c r="I164" s="4"/>
      <c r="J164" s="9"/>
      <c r="K164" s="3"/>
      <c r="N164" s="2"/>
    </row>
    <row r="165" spans="3:14" x14ac:dyDescent="0.25">
      <c r="C165" s="1"/>
      <c r="D165" s="1"/>
      <c r="E165" s="1"/>
      <c r="F165" s="1"/>
      <c r="G165" s="1"/>
      <c r="H165" s="1"/>
      <c r="I165" s="4"/>
      <c r="J165" s="9"/>
      <c r="K165" s="3"/>
      <c r="N165" s="2"/>
    </row>
    <row r="166" spans="3:14" x14ac:dyDescent="0.25">
      <c r="C166" s="1"/>
      <c r="D166" s="1"/>
      <c r="E166" s="1"/>
      <c r="F166" s="1"/>
      <c r="G166" s="1"/>
      <c r="H166" s="1"/>
      <c r="I166" s="4"/>
      <c r="J166" s="9"/>
      <c r="K166" s="3"/>
      <c r="N166" s="2"/>
    </row>
    <row r="167" spans="3:14" x14ac:dyDescent="0.25">
      <c r="C167" s="1"/>
      <c r="D167" s="1"/>
      <c r="E167" s="1"/>
      <c r="F167" s="1"/>
      <c r="G167" s="1"/>
      <c r="H167" s="1"/>
      <c r="I167" s="4"/>
      <c r="J167" s="9"/>
      <c r="K167" s="3"/>
      <c r="N167" s="2"/>
    </row>
    <row r="168" spans="3:14" x14ac:dyDescent="0.25">
      <c r="C168" s="1"/>
      <c r="D168" s="1"/>
      <c r="E168" s="1"/>
      <c r="F168" s="1"/>
      <c r="G168" s="1"/>
      <c r="H168" s="1"/>
      <c r="I168" s="4"/>
      <c r="J168" s="9"/>
      <c r="K168" s="3"/>
      <c r="N168" s="2"/>
    </row>
    <row r="169" spans="3:14" x14ac:dyDescent="0.25">
      <c r="C169" s="1"/>
      <c r="D169" s="1"/>
      <c r="E169" s="1"/>
      <c r="F169" s="1"/>
      <c r="G169" s="1"/>
      <c r="H169" s="1"/>
      <c r="I169" s="4"/>
      <c r="J169" s="9"/>
      <c r="K169" s="3"/>
      <c r="N169" s="2"/>
    </row>
    <row r="170" spans="3:14" x14ac:dyDescent="0.25">
      <c r="C170" s="1"/>
      <c r="D170" s="1"/>
      <c r="E170" s="1"/>
      <c r="F170" s="1"/>
      <c r="G170" s="1"/>
      <c r="H170" s="1"/>
      <c r="I170" s="4"/>
      <c r="J170" s="9"/>
      <c r="K170" s="3"/>
      <c r="N170" s="2"/>
    </row>
  </sheetData>
  <mergeCells count="2">
    <mergeCell ref="D2:I2"/>
    <mergeCell ref="A2:C2"/>
  </mergeCells>
  <dataValidations count="1">
    <dataValidation type="list" allowBlank="1" showInputMessage="1" showErrorMessage="1" sqref="J4:J170">
      <formula1>"earlier,later"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2</vt:i4>
      </vt:variant>
    </vt:vector>
  </HeadingPairs>
  <TitlesOfParts>
    <vt:vector size="3" baseType="lpstr">
      <vt:lpstr>lst</vt:lpstr>
      <vt:lpstr>Folder</vt:lpstr>
      <vt:lpstr>Pattern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Julia</cp:lastModifiedBy>
  <dcterms:created xsi:type="dcterms:W3CDTF">2019-07-31T08:00:06Z</dcterms:created>
  <dcterms:modified xsi:type="dcterms:W3CDTF">2019-12-29T12:57:13Z</dcterms:modified>
</cp:coreProperties>
</file>